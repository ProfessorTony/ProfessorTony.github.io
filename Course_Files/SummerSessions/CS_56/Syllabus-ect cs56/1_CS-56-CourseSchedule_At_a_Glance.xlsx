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slivedeltacollege-my.sharepoint.com/personal/anthony_pacheco_deltacollege_edu/Documents/Courses-Teaching/CS-56/Syllabus-ect cs56/"/>
    </mc:Choice>
  </mc:AlternateContent>
  <xr:revisionPtr revIDLastSave="84" documentId="14_{B8BD0BE7-F25A-4559-A78D-7815AC23A324}" xr6:coauthVersionLast="47" xr6:coauthVersionMax="47" xr10:uidLastSave="{DA6E7A36-0936-439E-ACAD-65EE546FB4B0}"/>
  <bookViews>
    <workbookView xWindow="8670" yWindow="375" windowWidth="20115" windowHeight="14025" tabRatio="516" activeTab="2" xr2:uid="{175B2F9B-02EB-4B9A-869F-45FE7D9F78EC}"/>
  </bookViews>
  <sheets>
    <sheet name="old -MOS-Syllabus Schedule" sheetId="6" r:id="rId1"/>
    <sheet name="Points-Class" sheetId="5" r:id="rId2"/>
    <sheet name="CourseSchedule" sheetId="1" r:id="rId3"/>
  </sheets>
  <definedNames>
    <definedName name="_xlnm.Print_Area" localSheetId="2">CourseSchedule!$C$1:$E$41</definedName>
    <definedName name="_xlnm.Print_Area" localSheetId="0">'old -MOS-Syllabus Schedule'!$C$1:$F$29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G34" i="1"/>
  <c r="G37" i="1" s="1"/>
  <c r="E48" i="1"/>
  <c r="F33" i="6"/>
  <c r="G21" i="6"/>
  <c r="E39" i="1" l="1"/>
  <c r="H40" i="1" s="1"/>
  <c r="H20" i="5"/>
  <c r="G30" i="5" l="1"/>
  <c r="C30" i="5" l="1"/>
  <c r="B30" i="5"/>
  <c r="E23" i="5"/>
</calcChain>
</file>

<file path=xl/sharedStrings.xml><?xml version="1.0" encoding="utf-8"?>
<sst xmlns="http://schemas.openxmlformats.org/spreadsheetml/2006/main" count="249" uniqueCount="218">
  <si>
    <t>Module 1</t>
  </si>
  <si>
    <t>TOTAL</t>
  </si>
  <si>
    <t>Module 2</t>
  </si>
  <si>
    <t>Module 3</t>
  </si>
  <si>
    <t>Module 4</t>
  </si>
  <si>
    <t>Module 5</t>
  </si>
  <si>
    <t>Module 6</t>
  </si>
  <si>
    <t>Module 7</t>
  </si>
  <si>
    <t>Module 8</t>
  </si>
  <si>
    <t>Module 9</t>
  </si>
  <si>
    <t>Module 10</t>
  </si>
  <si>
    <t>Module 11</t>
  </si>
  <si>
    <t>Module 12</t>
  </si>
  <si>
    <t>Module 13</t>
  </si>
  <si>
    <t>GRADED ON:</t>
  </si>
  <si>
    <t>Total</t>
  </si>
  <si>
    <t>Midterm</t>
  </si>
  <si>
    <t>Midterm #2</t>
  </si>
  <si>
    <t>FINAL Pt. 1</t>
  </si>
  <si>
    <t>FINAL Pt. 2</t>
  </si>
  <si>
    <t>extra credit</t>
  </si>
  <si>
    <t>EXTRA Crd</t>
  </si>
  <si>
    <t>20*3</t>
  </si>
  <si>
    <t>5*5</t>
  </si>
  <si>
    <t>FINAL  Dec 7</t>
  </si>
  <si>
    <t>Due Dec 12</t>
  </si>
  <si>
    <t>11:30pm</t>
  </si>
  <si>
    <t>GRADE ON</t>
  </si>
  <si>
    <t>A+</t>
  </si>
  <si>
    <t>All Sections</t>
  </si>
  <si>
    <t>Pts.</t>
  </si>
  <si>
    <t>Totals</t>
  </si>
  <si>
    <t>Wk.</t>
  </si>
  <si>
    <t>Date</t>
  </si>
  <si>
    <t>Book</t>
  </si>
  <si>
    <t>Jan. 16</t>
  </si>
  <si>
    <t>Jan. 24</t>
  </si>
  <si>
    <t>Jan. 31</t>
  </si>
  <si>
    <t>Feb. 07</t>
  </si>
  <si>
    <t>Feb. 14</t>
  </si>
  <si>
    <t>Feb. 21</t>
  </si>
  <si>
    <t>Feb. 28</t>
  </si>
  <si>
    <t>Mar. 07</t>
  </si>
  <si>
    <t>Mar. 06</t>
  </si>
  <si>
    <t>Mar. 21</t>
  </si>
  <si>
    <t>Apr. 18</t>
  </si>
  <si>
    <t>May 02</t>
  </si>
  <si>
    <t>May 09</t>
  </si>
  <si>
    <t>Dates</t>
  </si>
  <si>
    <t xml:space="preserve"> Topic / Module in Canvas: Activities-Assignments.</t>
  </si>
  <si>
    <t>Key Activities / Notes</t>
  </si>
  <si>
    <t>Jan. 18 - Jan. 24</t>
  </si>
  <si>
    <t>Jan. 25 - Jan. 31</t>
  </si>
  <si>
    <t>Feb. 01 - Feb. 07</t>
  </si>
  <si>
    <t>Feb. 08 - Feb. 14</t>
  </si>
  <si>
    <t>Feb. 15 - Feb. 21</t>
  </si>
  <si>
    <t>Feb. 22 - Feb. 28</t>
  </si>
  <si>
    <t>Mar.01 - Mar. 07</t>
  </si>
  <si>
    <t>May 03 - May 09</t>
  </si>
  <si>
    <t>COMPLETE ALL Required Tasks: Any task not complete will result in being Dropped from course.</t>
  </si>
  <si>
    <t>Jan. 9 - Jan. 16</t>
  </si>
  <si>
    <r>
      <rPr>
        <b/>
        <sz val="12"/>
        <color theme="1"/>
        <rFont val="Times New Roman"/>
        <family val="1"/>
      </rPr>
      <t>URGENT: Canvas Module: Getting Started</t>
    </r>
    <r>
      <rPr>
        <sz val="12"/>
        <color theme="1"/>
        <rFont val="Times New Roman"/>
        <family val="1"/>
      </rPr>
      <t xml:space="preserve">  / e-Text Modern Operating Systems</t>
    </r>
  </si>
  <si>
    <r>
      <rPr>
        <b/>
        <sz val="12"/>
        <color theme="1"/>
        <rFont val="Times New Roman"/>
        <family val="1"/>
      </rPr>
      <t>Module 3: Chpt. 3 - Memory Management (</t>
    </r>
    <r>
      <rPr>
        <sz val="12"/>
        <color theme="1"/>
        <rFont val="Times New Roman"/>
        <family val="1"/>
      </rPr>
      <t>pgs. 178 to 250)</t>
    </r>
  </si>
  <si>
    <r>
      <rPr>
        <b/>
        <sz val="12"/>
        <color theme="1"/>
        <rFont val="Times New Roman"/>
        <family val="1"/>
      </rPr>
      <t xml:space="preserve">Module 4: Chpt. 4 - File Systems </t>
    </r>
    <r>
      <rPr>
        <sz val="12"/>
        <color theme="1"/>
        <rFont val="Times New Roman"/>
        <family val="1"/>
      </rPr>
      <t xml:space="preserve">(pgs. 259 to 331) </t>
    </r>
  </si>
  <si>
    <r>
      <t xml:space="preserve"> </t>
    </r>
    <r>
      <rPr>
        <b/>
        <sz val="12"/>
        <color theme="1"/>
        <rFont val="Times New Roman"/>
        <family val="1"/>
      </rPr>
      <t xml:space="preserve">Module 5: Chpt. 5 -  Input/Output </t>
    </r>
    <r>
      <rPr>
        <sz val="12"/>
        <color theme="1"/>
        <rFont val="Times New Roman"/>
        <family val="1"/>
      </rPr>
      <t xml:space="preserve">(pages 337 to 431)
            Disicussion Question   &amp; Ch. 5 </t>
    </r>
    <r>
      <rPr>
        <b/>
        <sz val="12"/>
        <color theme="1"/>
        <rFont val="Times New Roman"/>
        <family val="1"/>
      </rPr>
      <t>Quiz 5</t>
    </r>
    <r>
      <rPr>
        <sz val="12"/>
        <color theme="1"/>
        <rFont val="Times New Roman"/>
        <family val="1"/>
      </rPr>
      <t xml:space="preserve">     </t>
    </r>
  </si>
  <si>
    <r>
      <t xml:space="preserve">Complete on-line </t>
    </r>
    <r>
      <rPr>
        <b/>
        <sz val="12"/>
        <color theme="1"/>
        <rFont val="Times New Roman"/>
        <family val="1"/>
      </rPr>
      <t xml:space="preserve">Midterm, </t>
    </r>
    <r>
      <rPr>
        <sz val="12"/>
        <color theme="1"/>
        <rFont val="Times New Roman"/>
        <family val="1"/>
      </rPr>
      <t>due Mar. 06</t>
    </r>
  </si>
  <si>
    <r>
      <t xml:space="preserve"> </t>
    </r>
    <r>
      <rPr>
        <b/>
        <sz val="12"/>
        <color theme="1"/>
        <rFont val="Times New Roman"/>
        <family val="1"/>
      </rPr>
      <t>Module 9 / Ch. 9: Security</t>
    </r>
    <r>
      <rPr>
        <sz val="12"/>
        <color theme="1"/>
        <rFont val="Times New Roman"/>
        <family val="1"/>
      </rPr>
      <t xml:space="preserve"> (pages 605 to 697)
    Ch.9 </t>
    </r>
    <r>
      <rPr>
        <b/>
        <sz val="12"/>
        <color theme="1"/>
        <rFont val="Times New Roman"/>
        <family val="1"/>
      </rPr>
      <t>Discussion Question</t>
    </r>
    <r>
      <rPr>
        <sz val="12"/>
        <color theme="1"/>
        <rFont val="Times New Roman"/>
        <family val="1"/>
      </rPr>
      <t xml:space="preserve">  &amp;  Chpt. 9 </t>
    </r>
    <r>
      <rPr>
        <b/>
        <sz val="12"/>
        <color theme="1"/>
        <rFont val="Times New Roman"/>
        <family val="1"/>
      </rPr>
      <t>Quiz 9</t>
    </r>
    <r>
      <rPr>
        <sz val="12"/>
        <color theme="1"/>
        <rFont val="Times New Roman"/>
        <family val="1"/>
      </rPr>
      <t xml:space="preserve">   </t>
    </r>
  </si>
  <si>
    <t>FINALS WEEK
MAY 12</t>
  </si>
  <si>
    <r>
      <t xml:space="preserve">End of Course Final </t>
    </r>
    <r>
      <rPr>
        <sz val="12"/>
        <color theme="1"/>
        <rFont val="Times New Roman"/>
        <family val="1"/>
      </rPr>
      <t xml:space="preserve">(cumulative), Online Final Exam
CS 32 Final is timed with 1 opportunity. </t>
    </r>
  </si>
  <si>
    <r>
      <t>Complete Course Final. Must be completed once started. (Timed) - due May 12 &amp; End of Course Survey (</t>
    </r>
    <r>
      <rPr>
        <b/>
        <sz val="12"/>
        <color theme="8"/>
        <rFont val="Times New Roman"/>
        <family val="1"/>
      </rPr>
      <t>P</t>
    </r>
    <r>
      <rPr>
        <sz val="12"/>
        <color theme="1"/>
        <rFont val="Times New Roman"/>
        <family val="1"/>
      </rPr>
      <t>)</t>
    </r>
  </si>
  <si>
    <t>POINTS</t>
  </si>
  <si>
    <t>Midterm Exam: 12%</t>
  </si>
  <si>
    <t>Final Exam (Cumulative): 15%</t>
  </si>
  <si>
    <t>Participation (In-Class or Online Activities): 9%           9*10pts</t>
  </si>
  <si>
    <t>Quizzes (In-class or Online): 12%                                   12 * 10pts</t>
  </si>
  <si>
    <t>Assignments (Questions, Labs &amp; Problems): 52%      12 * 43pts</t>
  </si>
  <si>
    <r>
      <t xml:space="preserve"> </t>
    </r>
    <r>
      <rPr>
        <b/>
        <sz val="12"/>
        <color theme="1"/>
        <rFont val="Times New Roman"/>
        <family val="1"/>
      </rPr>
      <t xml:space="preserve">Module 1: Chapter 1 - Introduction </t>
    </r>
    <r>
      <rPr>
        <sz val="12"/>
        <color theme="1"/>
        <rFont val="Times New Roman"/>
        <family val="1"/>
      </rPr>
      <t>(pages 1-81)</t>
    </r>
    <r>
      <rPr>
        <b/>
        <sz val="12"/>
        <color theme="1"/>
        <rFont val="Times New Roman"/>
        <family val="1"/>
      </rPr>
      <t xml:space="preserve">
 </t>
    </r>
    <r>
      <rPr>
        <sz val="12"/>
        <color theme="1"/>
        <rFont val="Times New Roman"/>
        <family val="1"/>
      </rPr>
      <t xml:space="preserve">Course will use e-TextBook,  </t>
    </r>
    <r>
      <rPr>
        <b/>
        <sz val="12"/>
        <color theme="1"/>
        <rFont val="Times New Roman"/>
        <family val="1"/>
      </rPr>
      <t>Modern Operating Systems</t>
    </r>
    <r>
      <rPr>
        <sz val="12"/>
        <color theme="1"/>
        <rFont val="Times New Roman"/>
        <family val="1"/>
      </rPr>
      <t xml:space="preserve"> </t>
    </r>
  </si>
  <si>
    <r>
      <t xml:space="preserve"> </t>
    </r>
    <r>
      <rPr>
        <b/>
        <sz val="12"/>
        <color theme="1"/>
        <rFont val="Times New Roman"/>
        <family val="1"/>
      </rPr>
      <t>Module 8 / Ch. 8: Multiple Processor Systems</t>
    </r>
    <r>
      <rPr>
        <sz val="12"/>
        <color theme="1"/>
        <rFont val="Times New Roman"/>
        <family val="1"/>
      </rPr>
      <t xml:space="preserve"> (pgs. 527 to 601)   Ch. 8 </t>
    </r>
    <r>
      <rPr>
        <b/>
        <sz val="12"/>
        <color theme="1"/>
        <rFont val="Times New Roman"/>
        <family val="1"/>
      </rPr>
      <t>Quiz 8</t>
    </r>
    <r>
      <rPr>
        <sz val="12"/>
        <color theme="1"/>
        <rFont val="Times New Roman"/>
        <family val="1"/>
      </rPr>
      <t xml:space="preserve">    </t>
    </r>
  </si>
  <si>
    <r>
      <rPr>
        <b/>
        <sz val="12"/>
        <color theme="1"/>
        <rFont val="Times New Roman"/>
        <family val="1"/>
      </rPr>
      <t>Module 7 /  Ch. 7: Virtualization &amp; the Cloud</t>
    </r>
    <r>
      <rPr>
        <sz val="12"/>
        <color theme="1"/>
        <rFont val="Times New Roman"/>
        <family val="1"/>
      </rPr>
      <t xml:space="preserve"> (pgs. 477 to 524)       </t>
    </r>
    <r>
      <rPr>
        <b/>
        <sz val="12"/>
        <color theme="1"/>
        <rFont val="Times New Roman"/>
        <family val="1"/>
      </rPr>
      <t>Lab</t>
    </r>
    <r>
      <rPr>
        <sz val="12"/>
        <color theme="1"/>
        <rFont val="Times New Roman"/>
        <family val="1"/>
      </rPr>
      <t xml:space="preserve"> assignment,  and  Ch. 7 </t>
    </r>
    <r>
      <rPr>
        <b/>
        <sz val="12"/>
        <color theme="1"/>
        <rFont val="Times New Roman"/>
        <family val="1"/>
      </rPr>
      <t>Quiz 7</t>
    </r>
    <r>
      <rPr>
        <sz val="12"/>
        <color theme="1"/>
        <rFont val="Times New Roman"/>
        <family val="1"/>
      </rPr>
      <t xml:space="preserve">    </t>
    </r>
  </si>
  <si>
    <r>
      <rPr>
        <b/>
        <sz val="12"/>
        <color theme="1"/>
        <rFont val="Times New Roman"/>
        <family val="1"/>
      </rPr>
      <t>MIDTERM TEST</t>
    </r>
    <r>
      <rPr>
        <sz val="12"/>
        <color theme="1"/>
        <rFont val="Times New Roman"/>
        <family val="1"/>
      </rPr>
      <t>: Covers chapters 1 to 6</t>
    </r>
  </si>
  <si>
    <t>Mar. 15 - Mar. 21</t>
  </si>
  <si>
    <t>Mar. 22 - Mar. 28</t>
  </si>
  <si>
    <t>TOTALS</t>
  </si>
  <si>
    <t>Download, complete, submit - Lab (Linux Servers)</t>
  </si>
  <si>
    <t>Mar. 29 - Apr. 18</t>
  </si>
  <si>
    <r>
      <t xml:space="preserve">Module 2: Chapter 2 - Processes &amp; Threads </t>
    </r>
    <r>
      <rPr>
        <sz val="12"/>
        <color theme="1"/>
        <rFont val="Times New Roman"/>
        <family val="1"/>
      </rPr>
      <t>(pages 85 to 172)</t>
    </r>
  </si>
  <si>
    <r>
      <t xml:space="preserve">Read / complete Ch. 4, Video &amp; questions, 
Discussion question - due Feb. 12, &amp; Canvas </t>
    </r>
    <r>
      <rPr>
        <b/>
        <sz val="12"/>
        <color theme="1"/>
        <rFont val="Times New Roman"/>
        <family val="1"/>
      </rPr>
      <t>Quiz 4</t>
    </r>
  </si>
  <si>
    <r>
      <t xml:space="preserve">Read / complete Chapter 1, Cisco module 1 (1.0 &amp; 1.1)
Video &amp; questions, and Canvas </t>
    </r>
    <r>
      <rPr>
        <b/>
        <sz val="12"/>
        <color theme="1"/>
        <rFont val="Times New Roman"/>
        <family val="1"/>
      </rPr>
      <t>Quiz 1</t>
    </r>
    <r>
      <rPr>
        <sz val="12"/>
        <color theme="1"/>
        <rFont val="Times New Roman"/>
        <family val="1"/>
      </rPr>
      <t xml:space="preserve"> - due Jan. 24</t>
    </r>
  </si>
  <si>
    <r>
      <t xml:space="preserve">Read / complete Ch. 6, Video &amp; question, 3 Labs (Cisco 1.3.11 to 1.4), and Canvas Ch. 6 </t>
    </r>
    <r>
      <rPr>
        <b/>
        <sz val="12"/>
        <color theme="1"/>
        <rFont val="Times New Roman"/>
        <family val="1"/>
      </rPr>
      <t xml:space="preserve">Quiz 6 - </t>
    </r>
    <r>
      <rPr>
        <sz val="12"/>
        <color theme="1"/>
        <rFont val="Times New Roman"/>
        <family val="1"/>
      </rPr>
      <t>due Feb. 28</t>
    </r>
  </si>
  <si>
    <r>
      <t xml:space="preserve">Read / complete Chapter 2 , Canvas </t>
    </r>
    <r>
      <rPr>
        <b/>
        <sz val="12"/>
        <color theme="1"/>
        <rFont val="Times New Roman"/>
        <family val="1"/>
      </rPr>
      <t>Discussion</t>
    </r>
    <r>
      <rPr>
        <sz val="12"/>
        <color theme="1"/>
        <rFont val="Times New Roman"/>
        <family val="1"/>
      </rPr>
      <t xml:space="preserve"> for Chpt. 2  Video &amp; questions, and Canvas Ch. 2 </t>
    </r>
    <r>
      <rPr>
        <b/>
        <sz val="12"/>
        <color theme="1"/>
        <rFont val="Times New Roman"/>
        <family val="1"/>
      </rPr>
      <t>Quiz 2</t>
    </r>
    <r>
      <rPr>
        <sz val="12"/>
        <color theme="1"/>
        <rFont val="Times New Roman"/>
        <family val="1"/>
      </rPr>
      <t xml:space="preserve"> - due Jan.31</t>
    </r>
  </si>
  <si>
    <r>
      <t xml:space="preserve">Read / complete Ch.3, Cisco 1.2 to 1.3,
 Lab (Cisco 1.211), &amp; Canvas </t>
    </r>
    <r>
      <rPr>
        <b/>
        <sz val="12"/>
        <color theme="1"/>
        <rFont val="Times New Roman"/>
        <family val="1"/>
      </rPr>
      <t>Quiz 3</t>
    </r>
    <r>
      <rPr>
        <sz val="12"/>
        <color theme="1"/>
        <rFont val="Times New Roman"/>
        <family val="1"/>
      </rPr>
      <t xml:space="preserve"> due Feb. 07</t>
    </r>
  </si>
  <si>
    <r>
      <rPr>
        <b/>
        <sz val="12"/>
        <color theme="1"/>
        <rFont val="Times New Roman"/>
        <family val="1"/>
      </rPr>
      <t xml:space="preserve">Module 6: Chpt. 6 - Deadlocks </t>
    </r>
    <r>
      <rPr>
        <sz val="12"/>
        <color theme="1"/>
        <rFont val="Times New Roman"/>
        <family val="1"/>
      </rPr>
      <t xml:space="preserve">(pages 437 to 470)           
              Ch. 6 </t>
    </r>
    <r>
      <rPr>
        <b/>
        <sz val="12"/>
        <color theme="1"/>
        <rFont val="Times New Roman"/>
        <family val="1"/>
      </rPr>
      <t>Quiz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6</t>
    </r>
  </si>
  <si>
    <r>
      <t xml:space="preserve">Read / complete Chpt. 5, Article &amp; questions - due Feb. 19, Lab Cisco 1.3 to 1.3.10,  and Ch. 5 </t>
    </r>
    <r>
      <rPr>
        <b/>
        <sz val="12"/>
        <color theme="1"/>
        <rFont val="Times New Roman"/>
        <family val="1"/>
      </rPr>
      <t>Quiz 5 -</t>
    </r>
    <r>
      <rPr>
        <sz val="12"/>
        <color theme="1"/>
        <rFont val="Times New Roman"/>
        <family val="1"/>
      </rPr>
      <t xml:space="preserve"> due Feb. 21</t>
    </r>
  </si>
  <si>
    <r>
      <t xml:space="preserve"> </t>
    </r>
    <r>
      <rPr>
        <b/>
        <sz val="12"/>
        <color theme="1"/>
        <rFont val="Times New Roman"/>
        <family val="1"/>
      </rPr>
      <t>Module 11/ Ch. 11- Case Study 2: Windows 11</t>
    </r>
    <r>
      <rPr>
        <sz val="12"/>
        <color theme="1"/>
        <rFont val="Times New Roman"/>
        <family val="1"/>
      </rPr>
      <t xml:space="preserve"> 
(pgs. 871 to 1037)     </t>
    </r>
  </si>
  <si>
    <r>
      <t xml:space="preserve"> </t>
    </r>
    <r>
      <rPr>
        <b/>
        <sz val="12"/>
        <color theme="1"/>
        <rFont val="Times New Roman"/>
        <family val="1"/>
      </rPr>
      <t xml:space="preserve">Module 10 /  Ch. 10- Case Study 1: UNIX, Linux, &amp; Android
 </t>
    </r>
    <r>
      <rPr>
        <sz val="12"/>
        <color theme="1"/>
        <rFont val="Times New Roman"/>
        <family val="1"/>
      </rPr>
      <t xml:space="preserve">(pages 703 to 864)    </t>
    </r>
  </si>
  <si>
    <r>
      <t xml:space="preserve">Read / complete Ch. 8, Cisco 2.1 - due Mar 19 
Canvas </t>
    </r>
    <r>
      <rPr>
        <b/>
        <sz val="12"/>
        <color theme="1"/>
        <rFont val="Times New Roman"/>
        <family val="1"/>
      </rPr>
      <t xml:space="preserve">Quiz 8 - </t>
    </r>
    <r>
      <rPr>
        <sz val="12"/>
        <color theme="1"/>
        <rFont val="Times New Roman"/>
        <family val="1"/>
      </rPr>
      <t>due Mar. 21</t>
    </r>
  </si>
  <si>
    <r>
      <t xml:space="preserve">Read / complete Chpt. 9, </t>
    </r>
    <r>
      <rPr>
        <b/>
        <sz val="12"/>
        <color theme="1"/>
        <rFont val="Times New Roman"/>
        <family val="1"/>
      </rPr>
      <t>Labs x2</t>
    </r>
    <r>
      <rPr>
        <sz val="12"/>
        <color theme="1"/>
        <rFont val="Times New Roman"/>
        <family val="1"/>
      </rPr>
      <t xml:space="preserve"> (Cisco 2.2)- due Mar. 28 </t>
    </r>
    <r>
      <rPr>
        <b/>
        <sz val="12"/>
        <color theme="1"/>
        <rFont val="Times New Roman"/>
        <family val="1"/>
      </rPr>
      <t>Video</t>
    </r>
    <r>
      <rPr>
        <sz val="12"/>
        <color theme="1"/>
        <rFont val="Times New Roman"/>
        <family val="1"/>
      </rPr>
      <t xml:space="preserve"> &amp; questions- due Mar. 27, Ch.9 </t>
    </r>
    <r>
      <rPr>
        <b/>
        <sz val="12"/>
        <color theme="1"/>
        <rFont val="Times New Roman"/>
        <family val="1"/>
      </rPr>
      <t xml:space="preserve">Quiz 9  </t>
    </r>
    <r>
      <rPr>
        <sz val="12"/>
        <color theme="1"/>
        <rFont val="Times New Roman"/>
        <family val="1"/>
      </rPr>
      <t>due Mar. 28</t>
    </r>
  </si>
  <si>
    <r>
      <t xml:space="preserve">Read / complete Chpt. 7, Video &amp; questions, </t>
    </r>
    <r>
      <rPr>
        <b/>
        <sz val="12"/>
        <color theme="1"/>
        <rFont val="Times New Roman"/>
        <family val="1"/>
      </rPr>
      <t xml:space="preserve">Lab(s) V.M.s - </t>
    </r>
    <r>
      <rPr>
        <sz val="12"/>
        <color theme="1"/>
        <rFont val="Times New Roman"/>
        <family val="1"/>
      </rPr>
      <t xml:space="preserve">due Mar. 08, and Ch.7 </t>
    </r>
    <r>
      <rPr>
        <b/>
        <sz val="12"/>
        <color theme="1"/>
        <rFont val="Times New Roman"/>
        <family val="1"/>
      </rPr>
      <t xml:space="preserve">Quiz 7 - </t>
    </r>
    <r>
      <rPr>
        <sz val="12"/>
        <color theme="1"/>
        <rFont val="Times New Roman"/>
        <family val="1"/>
      </rPr>
      <t>due Mar. 08</t>
    </r>
  </si>
  <si>
    <r>
      <rPr>
        <b/>
        <sz val="12"/>
        <color theme="1"/>
        <rFont val="Times New Roman"/>
        <family val="1"/>
      </rPr>
      <t>Labs (Cisco 2.3)</t>
    </r>
    <r>
      <rPr>
        <sz val="12"/>
        <color theme="1"/>
        <rFont val="Times New Roman"/>
        <family val="1"/>
      </rPr>
      <t xml:space="preserve"> - due Apr. 14</t>
    </r>
  </si>
  <si>
    <r>
      <t xml:space="preserve">Complete Canvas </t>
    </r>
    <r>
      <rPr>
        <b/>
        <sz val="12"/>
        <color theme="1"/>
        <rFont val="Times New Roman"/>
        <family val="1"/>
      </rPr>
      <t>Discussion</t>
    </r>
    <r>
      <rPr>
        <sz val="12"/>
        <color theme="1"/>
        <rFont val="Times New Roman"/>
        <family val="1"/>
      </rPr>
      <t xml:space="preserve"> Question - due Apr. 30, </t>
    </r>
    <r>
      <rPr>
        <b/>
        <sz val="12"/>
        <color theme="1"/>
        <rFont val="Times New Roman"/>
        <family val="1"/>
      </rPr>
      <t>Video</t>
    </r>
    <r>
      <rPr>
        <sz val="12"/>
        <color theme="1"/>
        <rFont val="Times New Roman"/>
        <family val="1"/>
      </rPr>
      <t xml:space="preserve"> &amp; Questions, </t>
    </r>
    <r>
      <rPr>
        <b/>
        <sz val="12"/>
        <color theme="1"/>
        <rFont val="Times New Roman"/>
        <family val="1"/>
      </rPr>
      <t>Lab</t>
    </r>
    <r>
      <rPr>
        <sz val="12"/>
        <color theme="1"/>
        <rFont val="Times New Roman"/>
        <family val="1"/>
      </rPr>
      <t xml:space="preserve"> - due May 1, and </t>
    </r>
    <r>
      <rPr>
        <b/>
        <sz val="12"/>
        <color theme="1"/>
        <rFont val="Times New Roman"/>
        <family val="1"/>
      </rPr>
      <t>Quiz 11</t>
    </r>
    <r>
      <rPr>
        <sz val="12"/>
        <color theme="1"/>
        <rFont val="Times New Roman"/>
        <family val="1"/>
      </rPr>
      <t>- due May 02</t>
    </r>
  </si>
  <si>
    <r>
      <t xml:space="preserve">Read / complete Ch. 12 , </t>
    </r>
    <r>
      <rPr>
        <b/>
        <sz val="12"/>
        <color theme="1"/>
        <rFont val="Times New Roman"/>
        <family val="1"/>
      </rPr>
      <t>Video</t>
    </r>
    <r>
      <rPr>
        <sz val="12"/>
        <color theme="1"/>
        <rFont val="Times New Roman"/>
        <family val="1"/>
      </rPr>
      <t xml:space="preserve"> &amp; questions, </t>
    </r>
    <r>
      <rPr>
        <b/>
        <sz val="12"/>
        <color theme="1"/>
        <rFont val="Times New Roman"/>
        <family val="1"/>
      </rPr>
      <t>Lab</t>
    </r>
    <r>
      <rPr>
        <sz val="12"/>
        <color theme="1"/>
        <rFont val="Times New Roman"/>
        <family val="1"/>
      </rPr>
      <t xml:space="preserve">- due May 08 and Canvas Ch. 12 </t>
    </r>
    <r>
      <rPr>
        <b/>
        <sz val="12"/>
        <color theme="1"/>
        <rFont val="Times New Roman"/>
        <family val="1"/>
      </rPr>
      <t xml:space="preserve">Quiz 12- </t>
    </r>
    <r>
      <rPr>
        <sz val="12"/>
        <color theme="1"/>
        <rFont val="Times New Roman"/>
        <family val="1"/>
      </rPr>
      <t>due May 09</t>
    </r>
  </si>
  <si>
    <r>
      <t xml:space="preserve">Read / complete Chpt. 10, Labs (Linux Servers) Cisco 2.3, Video &amp; questions- due Apr.11, and Canvas Ch. 10 </t>
    </r>
    <r>
      <rPr>
        <b/>
        <sz val="12"/>
        <color theme="1"/>
        <rFont val="Times New Roman"/>
        <family val="1"/>
      </rPr>
      <t>Quiz 10</t>
    </r>
  </si>
  <si>
    <r>
      <t xml:space="preserve">Complete Ch. 10 </t>
    </r>
    <r>
      <rPr>
        <b/>
        <sz val="12"/>
        <color theme="1"/>
        <rFont val="Times New Roman"/>
        <family val="1"/>
      </rPr>
      <t xml:space="preserve">Quiz 10 </t>
    </r>
    <r>
      <rPr>
        <sz val="12"/>
        <color theme="1"/>
        <rFont val="Times New Roman"/>
        <family val="1"/>
      </rPr>
      <t>- due Apr. 18</t>
    </r>
  </si>
  <si>
    <r>
      <t xml:space="preserve">Ch. 10 </t>
    </r>
    <r>
      <rPr>
        <b/>
        <sz val="12"/>
        <color theme="1"/>
        <rFont val="Times New Roman"/>
        <family val="1"/>
      </rPr>
      <t xml:space="preserve">Quiz 10       </t>
    </r>
  </si>
  <si>
    <r>
      <t xml:space="preserve">Ch.11 Discussion Question </t>
    </r>
    <r>
      <rPr>
        <sz val="12"/>
        <color theme="1"/>
        <rFont val="Times New Roman"/>
        <family val="1"/>
      </rPr>
      <t>and Ch.11</t>
    </r>
    <r>
      <rPr>
        <b/>
        <sz val="12"/>
        <color theme="1"/>
        <rFont val="Times New Roman"/>
        <family val="1"/>
      </rPr>
      <t xml:space="preserve"> Quiz 11  Cisco 2.4 Lab 2.4.4</t>
    </r>
  </si>
  <si>
    <r>
      <t xml:space="preserve"> </t>
    </r>
    <r>
      <rPr>
        <b/>
        <sz val="12"/>
        <color theme="1"/>
        <rFont val="Times New Roman"/>
        <family val="1"/>
      </rPr>
      <t>Module 12 / Ch. 12: Operating System Design</t>
    </r>
    <r>
      <rPr>
        <sz val="12"/>
        <color theme="1"/>
        <rFont val="Times New Roman"/>
        <family val="1"/>
      </rPr>
      <t xml:space="preserve"> 
(pgs. 1041 to 1083),             Chpt. 12 </t>
    </r>
    <r>
      <rPr>
        <b/>
        <sz val="12"/>
        <color theme="1"/>
        <rFont val="Times New Roman"/>
        <family val="1"/>
      </rPr>
      <t xml:space="preserve">Quiz 12 </t>
    </r>
    <r>
      <rPr>
        <sz val="12"/>
        <color theme="1"/>
        <rFont val="Times New Roman"/>
        <family val="1"/>
      </rPr>
      <t xml:space="preserve">   </t>
    </r>
    <r>
      <rPr>
        <b/>
        <sz val="12"/>
        <color theme="1"/>
        <rFont val="Times New Roman"/>
        <family val="1"/>
      </rPr>
      <t>Lab</t>
    </r>
    <r>
      <rPr>
        <sz val="12"/>
        <color theme="1"/>
        <rFont val="Times New Roman"/>
        <family val="1"/>
      </rPr>
      <t xml:space="preserve"> 2.5 </t>
    </r>
    <r>
      <rPr>
        <b/>
        <sz val="12"/>
        <color theme="1"/>
        <rFont val="Times New Roman"/>
        <family val="1"/>
      </rPr>
      <t>2.5.4</t>
    </r>
  </si>
  <si>
    <r>
      <t xml:space="preserve">Read / complete Ch. 11, Video &amp; questions, Canvas Discussion, </t>
    </r>
    <r>
      <rPr>
        <b/>
        <sz val="12"/>
        <color theme="1"/>
        <rFont val="Times New Roman"/>
        <family val="1"/>
      </rPr>
      <t>Lab</t>
    </r>
    <r>
      <rPr>
        <sz val="12"/>
        <color theme="1"/>
        <rFont val="Times New Roman"/>
        <family val="1"/>
      </rPr>
      <t xml:space="preserve"> 2.4 2.4.4, and </t>
    </r>
    <r>
      <rPr>
        <b/>
        <sz val="12"/>
        <color theme="1"/>
        <rFont val="Times New Roman"/>
        <family val="1"/>
      </rPr>
      <t>Quiz 11</t>
    </r>
    <r>
      <rPr>
        <sz val="12"/>
        <color theme="1"/>
        <rFont val="Times New Roman"/>
        <family val="1"/>
      </rPr>
      <t xml:space="preserve"> </t>
    </r>
  </si>
  <si>
    <t>Apr. 19 - May 02</t>
  </si>
  <si>
    <t>End Date</t>
  </si>
  <si>
    <t>chpts</t>
  </si>
  <si>
    <t>pages</t>
  </si>
  <si>
    <t>A.A</t>
  </si>
  <si>
    <t>eText (Cengage Mindtap Online), Read - Hmewk - Test-Quiz-Assgnmt.</t>
  </si>
  <si>
    <t>Mar. 28</t>
  </si>
  <si>
    <t>Apr. 04</t>
  </si>
  <si>
    <t>Apr. 11</t>
  </si>
  <si>
    <t>Apr. 25</t>
  </si>
  <si>
    <t xml:space="preserve">Cengage: Mindtap </t>
  </si>
  <si>
    <t>14 Chapters, 642 pages.   16 Wks.   30 to 50 pgs/Wk.</t>
  </si>
  <si>
    <t>ONLINE - I.P.</t>
  </si>
  <si>
    <t>5 + 3 + 2</t>
  </si>
  <si>
    <t>Ch. Q</t>
  </si>
  <si>
    <t>Appendix A: Network Troubleshooting Guide</t>
  </si>
  <si>
    <r>
      <t xml:space="preserve">Cengage-Mindtap: </t>
    </r>
    <r>
      <rPr>
        <b/>
        <sz val="12"/>
        <color theme="1"/>
        <rFont val="Times New Roman"/>
        <family val="1"/>
      </rPr>
      <t>COMPLETE</t>
    </r>
    <r>
      <rPr>
        <sz val="12"/>
        <color theme="1"/>
        <rFont val="Times New Roman"/>
        <family val="1"/>
      </rPr>
      <t xml:space="preserve"> activities in </t>
    </r>
    <r>
      <rPr>
        <b/>
        <sz val="12"/>
        <color theme="1"/>
        <rFont val="Times New Roman"/>
        <family val="1"/>
      </rPr>
      <t>Learn It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Study It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Apply It</t>
    </r>
    <r>
      <rPr>
        <sz val="12"/>
        <color theme="1"/>
        <rFont val="Times New Roman"/>
        <family val="1"/>
      </rPr>
      <t xml:space="preserve"> </t>
    </r>
  </si>
  <si>
    <r>
      <t xml:space="preserve">Cengage-Mindtap: COMPLETE activities in </t>
    </r>
    <r>
      <rPr>
        <b/>
        <sz val="12"/>
        <color theme="1"/>
        <rFont val="Times New Roman"/>
        <family val="1"/>
      </rPr>
      <t>Learn It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Study It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 xml:space="preserve">Apply It </t>
    </r>
  </si>
  <si>
    <t>Mar. 16</t>
  </si>
  <si>
    <r>
      <rPr>
        <b/>
        <sz val="12"/>
        <color theme="1"/>
        <rFont val="Times New Roman"/>
        <family val="1"/>
      </rPr>
      <t>COMPLETE</t>
    </r>
    <r>
      <rPr>
        <sz val="12"/>
        <color theme="1"/>
        <rFont val="Times New Roman"/>
        <family val="1"/>
      </rPr>
      <t xml:space="preserve">  All activities in</t>
    </r>
    <r>
      <rPr>
        <b/>
        <sz val="12"/>
        <color theme="1"/>
        <rFont val="Times New Roman"/>
        <family val="1"/>
      </rPr>
      <t xml:space="preserve"> Learn It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Study It</t>
    </r>
    <r>
      <rPr>
        <sz val="12"/>
        <color theme="1"/>
        <rFont val="Times New Roman"/>
        <family val="1"/>
      </rPr>
      <t xml:space="preserve">, and </t>
    </r>
    <r>
      <rPr>
        <b/>
        <sz val="12"/>
        <color theme="1"/>
        <rFont val="Times New Roman"/>
        <family val="1"/>
      </rPr>
      <t xml:space="preserve">Apply It.      Due </t>
    </r>
  </si>
  <si>
    <r>
      <t xml:space="preserve">COMPLETE All activities in </t>
    </r>
    <r>
      <rPr>
        <b/>
        <sz val="12"/>
        <color theme="1"/>
        <rFont val="Times New Roman"/>
        <family val="1"/>
      </rPr>
      <t>Learn It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Study It</t>
    </r>
    <r>
      <rPr>
        <sz val="12"/>
        <color theme="1"/>
        <rFont val="Times New Roman"/>
        <family val="1"/>
      </rPr>
      <t xml:space="preserve">, and </t>
    </r>
    <r>
      <rPr>
        <b/>
        <sz val="12"/>
        <color theme="1"/>
        <rFont val="Times New Roman"/>
        <family val="1"/>
      </rPr>
      <t>Apply It.      Due</t>
    </r>
  </si>
  <si>
    <r>
      <t xml:space="preserve">COMPLETE All activities in </t>
    </r>
    <r>
      <rPr>
        <b/>
        <sz val="12"/>
        <color theme="1"/>
        <rFont val="Times New Roman"/>
        <family val="1"/>
      </rPr>
      <t>Learn It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Study It</t>
    </r>
    <r>
      <rPr>
        <sz val="12"/>
        <color theme="1"/>
        <rFont val="Times New Roman"/>
        <family val="1"/>
      </rPr>
      <t xml:space="preserve">, and </t>
    </r>
    <r>
      <rPr>
        <b/>
        <sz val="12"/>
        <color theme="1"/>
        <rFont val="Times New Roman"/>
        <family val="1"/>
      </rPr>
      <t>Apply It</t>
    </r>
    <r>
      <rPr>
        <sz val="12"/>
        <color theme="1"/>
        <rFont val="Times New Roman"/>
        <family val="1"/>
      </rPr>
      <t xml:space="preserve">.      </t>
    </r>
    <r>
      <rPr>
        <b/>
        <sz val="12"/>
        <color theme="1"/>
        <rFont val="Times New Roman"/>
        <family val="1"/>
      </rPr>
      <t>Due</t>
    </r>
  </si>
  <si>
    <t>Assignments (Questions, Labs &amp; Problems): 50%      15*34pts  + 10     (H)</t>
  </si>
  <si>
    <t xml:space="preserve">Participation (In-Class or Online Activities): 7%         </t>
  </si>
  <si>
    <t>Quizzes (In-class or Online): 16%                                   12 * 10pts   (none Ch. 7  &amp; Ch. 14)</t>
  </si>
  <si>
    <t>780 + 31</t>
  </si>
  <si>
    <r>
      <rPr>
        <b/>
        <sz val="12"/>
        <color theme="1"/>
        <rFont val="Times New Roman"/>
        <family val="1"/>
      </rPr>
      <t>39</t>
    </r>
    <r>
      <rPr>
        <sz val="12"/>
        <color theme="1"/>
        <rFont val="Times New Roman"/>
        <family val="1"/>
      </rPr>
      <t xml:space="preserve"> + 31</t>
    </r>
  </si>
  <si>
    <r>
      <t xml:space="preserve">FINALS WEEK: </t>
    </r>
    <r>
      <rPr>
        <sz val="12"/>
        <color theme="1"/>
        <rFont val="Times New Roman"/>
        <family val="1"/>
      </rPr>
      <t xml:space="preserve">In- Class/Online Final (Week of May 11; </t>
    </r>
    <r>
      <rPr>
        <b/>
        <sz val="12"/>
        <color theme="1"/>
        <rFont val="Times New Roman"/>
        <family val="1"/>
      </rPr>
      <t>T.B.A.</t>
    </r>
    <r>
      <rPr>
        <sz val="12"/>
        <color theme="1"/>
        <rFont val="Times New Roman"/>
        <family val="1"/>
      </rPr>
      <t>)</t>
    </r>
  </si>
  <si>
    <r>
      <rPr>
        <b/>
        <sz val="12"/>
        <color theme="1"/>
        <rFont val="Times New Roman"/>
        <family val="1"/>
      </rPr>
      <t>URGENT: Complete ALL Required Tasks</t>
    </r>
    <r>
      <rPr>
        <sz val="12"/>
        <color theme="1"/>
        <rFont val="Times New Roman"/>
        <family val="1"/>
      </rPr>
      <t xml:space="preserve">- To </t>
    </r>
    <r>
      <rPr>
        <b/>
        <sz val="12"/>
        <color theme="1"/>
        <rFont val="Times New Roman"/>
        <family val="1"/>
      </rPr>
      <t>avoid being DROPPED</t>
    </r>
  </si>
  <si>
    <t>Networking Essentials</t>
  </si>
  <si>
    <t>Jan. 09</t>
  </si>
  <si>
    <t>Jan. 25</t>
  </si>
  <si>
    <t>Jan. 18</t>
  </si>
  <si>
    <t>Feb. 01</t>
  </si>
  <si>
    <t>Feb. 08</t>
  </si>
  <si>
    <t>Feb. 15</t>
  </si>
  <si>
    <t>Feb. 22</t>
  </si>
  <si>
    <t>Mar. 01</t>
  </si>
  <si>
    <t>Mar. 22</t>
  </si>
  <si>
    <t>Mar. 29</t>
  </si>
  <si>
    <t>Apr. 05</t>
  </si>
  <si>
    <t>Apr. 12</t>
  </si>
  <si>
    <t>Apr. 19</t>
  </si>
  <si>
    <t>Apr. 26</t>
  </si>
  <si>
    <t>May 03</t>
  </si>
  <si>
    <t>May 10</t>
  </si>
  <si>
    <t>Mar. 15</t>
  </si>
  <si>
    <t>OK</t>
  </si>
  <si>
    <t>CISCO Netacad |THM</t>
  </si>
  <si>
    <r>
      <t xml:space="preserve"> </t>
    </r>
    <r>
      <rPr>
        <b/>
        <sz val="11"/>
        <color theme="1"/>
        <rFont val="Times New Roman"/>
        <family val="1"/>
      </rPr>
      <t>Cisco</t>
    </r>
    <r>
      <rPr>
        <sz val="11"/>
        <color theme="1"/>
        <rFont val="Times New Roman"/>
        <family val="1"/>
      </rPr>
      <t xml:space="preserve">  Introduction (3)</t>
    </r>
  </si>
  <si>
    <t xml:space="preserve"> Complete All activities in- Learn It, Study It, and Apply It.         Due</t>
  </si>
  <si>
    <t xml:space="preserve"> Complete All activities in- Learn It, Study It, and Apply It.      Due</t>
  </si>
  <si>
    <t>QZ</t>
  </si>
  <si>
    <t>Tests</t>
  </si>
  <si>
    <t>Pts. H</t>
  </si>
  <si>
    <t>Sim 4-1</t>
  </si>
  <si>
    <t xml:space="preserve">Sim - LVM; </t>
  </si>
  <si>
    <r>
      <rPr>
        <b/>
        <sz val="12"/>
        <color theme="1"/>
        <rFont val="Times New Roman"/>
        <family val="1"/>
      </rPr>
      <t>MIDTERM TEST</t>
    </r>
    <r>
      <rPr>
        <sz val="12"/>
        <color theme="1"/>
        <rFont val="Times New Roman"/>
        <family val="1"/>
      </rPr>
      <t xml:space="preserve">: Covers Chpts. (1 to 7)    Due  </t>
    </r>
  </si>
  <si>
    <r>
      <t xml:space="preserve">from course. (Canvas Module; </t>
    </r>
    <r>
      <rPr>
        <b/>
        <sz val="12"/>
        <color theme="1"/>
        <rFont val="Times New Roman"/>
        <family val="1"/>
      </rPr>
      <t>Getting Started</t>
    </r>
    <r>
      <rPr>
        <sz val="12"/>
        <color theme="1"/>
        <rFont val="Times New Roman"/>
        <family val="1"/>
      </rPr>
      <t>) + Orietnation  - [</t>
    </r>
    <r>
      <rPr>
        <b/>
        <sz val="12"/>
        <color theme="1"/>
        <rFont val="Times New Roman"/>
        <family val="1"/>
      </rPr>
      <t>THM, LVM]</t>
    </r>
  </si>
  <si>
    <r>
      <t xml:space="preserve"> </t>
    </r>
    <r>
      <rPr>
        <b/>
        <sz val="12"/>
        <color theme="1"/>
        <rFont val="Times New Roman"/>
        <family val="1"/>
      </rPr>
      <t>Read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e-TexBook</t>
    </r>
    <r>
      <rPr>
        <sz val="12"/>
        <color theme="1"/>
        <rFont val="Times New Roman"/>
        <family val="1"/>
      </rPr>
      <t xml:space="preserve"> Chapter 1. Introduction to Computer Networks    </t>
    </r>
    <r>
      <rPr>
        <b/>
        <sz val="12"/>
        <color theme="1"/>
        <rFont val="Times New Roman"/>
        <family val="1"/>
      </rPr>
      <t>MOD 1</t>
    </r>
  </si>
  <si>
    <r>
      <rPr>
        <b/>
        <sz val="11"/>
        <color theme="1"/>
        <rFont val="Times New Roman"/>
        <family val="1"/>
      </rPr>
      <t>V1.Q</t>
    </r>
    <r>
      <rPr>
        <sz val="11"/>
        <color theme="1"/>
        <rFont val="Times New Roman"/>
        <family val="1"/>
      </rPr>
      <t xml:space="preserve">. + Ch. Q </t>
    </r>
  </si>
  <si>
    <r>
      <t xml:space="preserve"> </t>
    </r>
    <r>
      <rPr>
        <b/>
        <sz val="12"/>
        <color theme="1"/>
        <rFont val="Times New Roman"/>
        <family val="1"/>
      </rPr>
      <t>Read</t>
    </r>
    <r>
      <rPr>
        <sz val="12"/>
        <color theme="1"/>
        <rFont val="Times New Roman"/>
        <family val="1"/>
      </rPr>
      <t xml:space="preserve"> e-Text </t>
    </r>
    <r>
      <rPr>
        <b/>
        <sz val="12"/>
        <color theme="1"/>
        <rFont val="Times New Roman"/>
        <family val="1"/>
      </rPr>
      <t>Chapter   2. Network Hardware Essentials</t>
    </r>
    <r>
      <rPr>
        <sz val="12"/>
        <color theme="1"/>
        <rFont val="Times New Roman"/>
        <family val="1"/>
      </rPr>
      <t xml:space="preserve">         </t>
    </r>
    <r>
      <rPr>
        <b/>
        <sz val="12"/>
        <color theme="1"/>
        <rFont val="Times New Roman"/>
        <family val="1"/>
      </rPr>
      <t xml:space="preserve"> MOD 2</t>
    </r>
    <r>
      <rPr>
        <sz val="12"/>
        <color theme="1"/>
        <rFont val="Times New Roman"/>
        <family val="1"/>
      </rPr>
      <t xml:space="preserve">  </t>
    </r>
    <r>
      <rPr>
        <b/>
        <sz val="12"/>
        <color theme="1"/>
        <rFont val="Times New Roman"/>
        <family val="1"/>
      </rPr>
      <t>in-Class</t>
    </r>
  </si>
  <si>
    <t>O.L.</t>
  </si>
  <si>
    <r>
      <rPr>
        <b/>
        <sz val="11"/>
        <color theme="1"/>
        <rFont val="Times New Roman"/>
        <family val="1"/>
      </rPr>
      <t xml:space="preserve">5 + 14 </t>
    </r>
    <r>
      <rPr>
        <sz val="11"/>
        <color theme="1"/>
        <rFont val="Times New Roman"/>
        <family val="1"/>
      </rPr>
      <t>|| Syll. Quiz</t>
    </r>
  </si>
  <si>
    <r>
      <rPr>
        <b/>
        <sz val="12"/>
        <color theme="1"/>
        <rFont val="Times New Roman"/>
        <family val="1"/>
      </rPr>
      <t>Read</t>
    </r>
    <r>
      <rPr>
        <sz val="12"/>
        <color theme="1"/>
        <rFont val="Times New Roman"/>
        <family val="1"/>
      </rPr>
      <t xml:space="preserve"> e-Text Chpt. </t>
    </r>
    <r>
      <rPr>
        <b/>
        <sz val="12"/>
        <color theme="1"/>
        <rFont val="Times New Roman"/>
        <family val="1"/>
      </rPr>
      <t>3. Network Topologies and Technologies</t>
    </r>
    <r>
      <rPr>
        <sz val="12"/>
        <color theme="1"/>
        <rFont val="Times New Roman"/>
        <family val="1"/>
      </rPr>
      <t xml:space="preserve">   </t>
    </r>
    <r>
      <rPr>
        <b/>
        <sz val="12"/>
        <color theme="1"/>
        <rFont val="Times New Roman"/>
        <family val="1"/>
      </rPr>
      <t>MOD 3</t>
    </r>
  </si>
  <si>
    <r>
      <rPr>
        <b/>
        <sz val="11"/>
        <color theme="1"/>
        <rFont val="Times New Roman"/>
        <family val="1"/>
      </rPr>
      <t xml:space="preserve">  + OK</t>
    </r>
    <r>
      <rPr>
        <sz val="11"/>
        <color theme="1"/>
        <rFont val="Times New Roman"/>
        <family val="1"/>
      </rPr>
      <t xml:space="preserve"> -V2</t>
    </r>
    <r>
      <rPr>
        <b/>
        <sz val="11"/>
        <color theme="1"/>
        <rFont val="Times New Roman"/>
        <family val="1"/>
      </rPr>
      <t>.Q</t>
    </r>
    <r>
      <rPr>
        <sz val="11"/>
        <color theme="1"/>
        <rFont val="Times New Roman"/>
        <family val="1"/>
      </rPr>
      <t xml:space="preserve">. </t>
    </r>
  </si>
  <si>
    <r>
      <t xml:space="preserve"> </t>
    </r>
    <r>
      <rPr>
        <b/>
        <sz val="11"/>
        <color theme="1"/>
        <rFont val="Times New Roman"/>
        <family val="1"/>
      </rPr>
      <t>Cisco</t>
    </r>
    <r>
      <rPr>
        <sz val="11"/>
        <color theme="1"/>
        <rFont val="Times New Roman"/>
        <family val="1"/>
      </rPr>
      <t xml:space="preserve">- </t>
    </r>
    <r>
      <rPr>
        <b/>
        <sz val="11"/>
        <color theme="1"/>
        <rFont val="Times New Roman"/>
        <family val="1"/>
      </rPr>
      <t xml:space="preserve">4 </t>
    </r>
    <r>
      <rPr>
        <sz val="11"/>
        <color theme="1"/>
        <rFont val="Times New Roman"/>
        <family val="1"/>
      </rPr>
      <t>pts + Ch. Q</t>
    </r>
  </si>
  <si>
    <r>
      <rPr>
        <b/>
        <sz val="11"/>
        <color theme="1"/>
        <rFont val="Times New Roman"/>
        <family val="1"/>
      </rPr>
      <t>V3.Q. I.C.</t>
    </r>
    <r>
      <rPr>
        <sz val="11"/>
        <color theme="1"/>
        <rFont val="Times New Roman"/>
        <family val="1"/>
      </rPr>
      <t xml:space="preserve">  2/3 2/5</t>
    </r>
  </si>
  <si>
    <r>
      <rPr>
        <b/>
        <sz val="12"/>
        <color theme="1"/>
        <rFont val="Times New Roman"/>
        <family val="1"/>
      </rPr>
      <t>Read</t>
    </r>
    <r>
      <rPr>
        <sz val="12"/>
        <color theme="1"/>
        <rFont val="Times New Roman"/>
        <family val="1"/>
      </rPr>
      <t xml:space="preserve"> e-Text </t>
    </r>
    <r>
      <rPr>
        <b/>
        <sz val="12"/>
        <color theme="1"/>
        <rFont val="Times New Roman"/>
        <family val="1"/>
      </rPr>
      <t>Chpt. 4. Network Media</t>
    </r>
    <r>
      <rPr>
        <sz val="12"/>
        <color theme="1"/>
        <rFont val="Times New Roman"/>
        <family val="1"/>
      </rPr>
      <t xml:space="preserve">      </t>
    </r>
    <r>
      <rPr>
        <b/>
        <sz val="12"/>
        <color theme="1"/>
        <rFont val="Times New Roman"/>
        <family val="1"/>
      </rPr>
      <t xml:space="preserve">MOD 4 </t>
    </r>
    <r>
      <rPr>
        <sz val="12"/>
        <color theme="1"/>
        <rFont val="Times New Roman"/>
        <family val="1"/>
      </rPr>
      <t xml:space="preserve">                                          </t>
    </r>
    <r>
      <rPr>
        <b/>
        <sz val="12"/>
        <color theme="1"/>
        <rFont val="Times New Roman"/>
        <family val="1"/>
      </rPr>
      <t>OK</t>
    </r>
  </si>
  <si>
    <r>
      <rPr>
        <b/>
        <sz val="12"/>
        <color theme="1"/>
        <rFont val="Times New Roman"/>
        <family val="1"/>
      </rPr>
      <t>Read</t>
    </r>
    <r>
      <rPr>
        <sz val="12"/>
        <color theme="1"/>
        <rFont val="Times New Roman"/>
        <family val="1"/>
      </rPr>
      <t xml:space="preserve"> e-Text </t>
    </r>
    <r>
      <rPr>
        <b/>
        <sz val="12"/>
        <color theme="1"/>
        <rFont val="Times New Roman"/>
        <family val="1"/>
      </rPr>
      <t>Chpt. 5. Network Protocols</t>
    </r>
    <r>
      <rPr>
        <sz val="12"/>
        <color theme="1"/>
        <rFont val="Times New Roman"/>
        <family val="1"/>
      </rPr>
      <t xml:space="preserve">               </t>
    </r>
    <r>
      <rPr>
        <b/>
        <sz val="12"/>
        <color theme="1"/>
        <rFont val="Times New Roman"/>
        <family val="1"/>
      </rPr>
      <t>MOD 5</t>
    </r>
  </si>
  <si>
    <t xml:space="preserve">V5.Q. </t>
  </si>
  <si>
    <r>
      <t xml:space="preserve">Read e-Text </t>
    </r>
    <r>
      <rPr>
        <b/>
        <sz val="12"/>
        <color theme="1"/>
        <rFont val="Tenorite"/>
      </rPr>
      <t>Chpt. 6.</t>
    </r>
    <r>
      <rPr>
        <sz val="12"/>
        <color theme="1"/>
        <rFont val="Tenorite"/>
      </rPr>
      <t xml:space="preserve"> </t>
    </r>
    <r>
      <rPr>
        <sz val="12"/>
        <color theme="1"/>
        <rFont val="Times New Roman"/>
        <family val="1"/>
      </rPr>
      <t xml:space="preserve">IP Addressing - Learn It, Study It, and Apply It        </t>
    </r>
    <r>
      <rPr>
        <b/>
        <sz val="12"/>
        <color theme="1"/>
        <rFont val="Times New Roman"/>
        <family val="1"/>
      </rPr>
      <t>MOD 6</t>
    </r>
  </si>
  <si>
    <t>3/1 Netacad 1.0 1.1 1.2 - 14 subsec</t>
  </si>
  <si>
    <t>Netacad 1.3, 1.4, 2.0, .2.1 - 10</t>
  </si>
  <si>
    <t>Q 10 + In Class Q 15</t>
  </si>
  <si>
    <r>
      <t xml:space="preserve">Read </t>
    </r>
    <r>
      <rPr>
        <b/>
        <sz val="11"/>
        <color theme="1"/>
        <rFont val="Tahoma"/>
        <family val="2"/>
      </rPr>
      <t>Ch.7,</t>
    </r>
    <r>
      <rPr>
        <b/>
        <sz val="12"/>
        <color theme="1"/>
        <rFont val="Tahoma"/>
        <family val="2"/>
      </rPr>
      <t xml:space="preserve"> </t>
    </r>
    <r>
      <rPr>
        <sz val="12"/>
        <color theme="1"/>
        <rFont val="Times New Roman"/>
        <family val="1"/>
      </rPr>
      <t xml:space="preserve">Network Reference Models &amp; Standards Learn, Study, </t>
    </r>
    <r>
      <rPr>
        <b/>
        <sz val="12"/>
        <color theme="1"/>
        <rFont val="Times New Roman"/>
        <family val="1"/>
      </rPr>
      <t>Apply</t>
    </r>
    <r>
      <rPr>
        <sz val="12"/>
        <color theme="1"/>
        <rFont val="Times New Roman"/>
        <family val="1"/>
      </rPr>
      <t xml:space="preserve">  </t>
    </r>
    <r>
      <rPr>
        <b/>
        <sz val="12"/>
        <color theme="1"/>
        <rFont val="Times New Roman"/>
        <family val="1"/>
      </rPr>
      <t>MOD 7</t>
    </r>
  </si>
  <si>
    <r>
      <t xml:space="preserve">Read e-Text </t>
    </r>
    <r>
      <rPr>
        <b/>
        <sz val="12"/>
        <color theme="1"/>
        <rFont val="Arial"/>
        <family val="2"/>
      </rPr>
      <t xml:space="preserve">Chpt. 8. </t>
    </r>
    <r>
      <rPr>
        <sz val="12"/>
        <color theme="1"/>
        <rFont val="Times New Roman"/>
        <family val="1"/>
      </rPr>
      <t xml:space="preserve">Network Hardware in Depth              </t>
    </r>
    <r>
      <rPr>
        <b/>
        <sz val="12"/>
        <color theme="1"/>
        <rFont val="Times New Roman"/>
        <family val="1"/>
      </rPr>
      <t>Mod 8</t>
    </r>
  </si>
  <si>
    <t>Ch. Q 10</t>
  </si>
  <si>
    <t>Cisco 8 || Ch. Q 10</t>
  </si>
  <si>
    <t>Ch. Q 13</t>
  </si>
  <si>
    <t xml:space="preserve"> Sim  ||  V4.Q. 8</t>
  </si>
  <si>
    <t xml:space="preserve"> In-Class 5 || Ch. Q10</t>
  </si>
  <si>
    <t xml:space="preserve">Ch. Q 13 </t>
  </si>
  <si>
    <t xml:space="preserve"> TOTAL</t>
  </si>
  <si>
    <t>FINAL</t>
  </si>
  <si>
    <r>
      <t xml:space="preserve">Cisco 10 || </t>
    </r>
    <r>
      <rPr>
        <b/>
        <sz val="11"/>
        <color theme="1"/>
        <rFont val="Times New Roman"/>
        <family val="1"/>
      </rPr>
      <t>MidTerm</t>
    </r>
  </si>
  <si>
    <r>
      <t xml:space="preserve"> -</t>
    </r>
    <r>
      <rPr>
        <b/>
        <sz val="12"/>
        <color theme="1"/>
        <rFont val="Times New Roman"/>
        <family val="1"/>
      </rPr>
      <t>Extra Credit</t>
    </r>
    <r>
      <rPr>
        <sz val="12"/>
        <color theme="1"/>
        <rFont val="Times New Roman"/>
        <family val="1"/>
      </rPr>
      <t>, Finish Netacad online-CERT plus screenshots,  or 1 of other 2 Project opts Not done</t>
    </r>
  </si>
  <si>
    <t xml:space="preserve"> I-C Q</t>
  </si>
  <si>
    <t xml:space="preserve"> </t>
  </si>
  <si>
    <t xml:space="preserve"> Part 1 Online and Part 2 In-Class  120 + 35   60 Q  1hr 36 min   In-class = 30 Q - 35pts  (25 + 5)</t>
  </si>
  <si>
    <t xml:space="preserve"> Extra Credit</t>
  </si>
  <si>
    <t>May 05</t>
  </si>
  <si>
    <r>
      <t xml:space="preserve">Netacad - 10 [ 2.2, 2.3, 2.4] </t>
    </r>
    <r>
      <rPr>
        <sz val="11"/>
        <color theme="1"/>
        <rFont val="Times New Roman"/>
        <family val="1"/>
      </rPr>
      <t>12</t>
    </r>
  </si>
  <si>
    <t>COMPLETE activities in Learn It, Study It, and Apply It.          Netacad 10 pts  --  Due</t>
  </si>
  <si>
    <r>
      <rPr>
        <b/>
        <sz val="12"/>
        <color theme="1"/>
        <rFont val="Times New Roman"/>
        <family val="1"/>
      </rPr>
      <t>Project</t>
    </r>
    <r>
      <rPr>
        <sz val="12"/>
        <color theme="1"/>
        <rFont val="Times New Roman"/>
        <family val="1"/>
      </rPr>
      <t xml:space="preserve"> - Home Network Map, Plex Media Server, Or LABs from Netacad.     </t>
    </r>
    <r>
      <rPr>
        <b/>
        <sz val="12"/>
        <color theme="1"/>
        <rFont val="Times New Roman"/>
        <family val="1"/>
      </rPr>
      <t>DUE</t>
    </r>
  </si>
  <si>
    <t>In-Class</t>
  </si>
  <si>
    <r>
      <t xml:space="preserve">Read e-Text </t>
    </r>
    <r>
      <rPr>
        <b/>
        <sz val="12"/>
        <color theme="1"/>
        <rFont val="Times New Roman"/>
        <family val="1"/>
      </rPr>
      <t>Chpt. 9</t>
    </r>
    <r>
      <rPr>
        <sz val="12"/>
        <color theme="1"/>
        <rFont val="Times New Roman"/>
        <family val="1"/>
      </rPr>
      <t xml:space="preserve">. Introduction to Network Security             </t>
    </r>
    <r>
      <rPr>
        <b/>
        <sz val="12"/>
        <color theme="1"/>
        <rFont val="Times New Roman"/>
        <family val="1"/>
      </rPr>
      <t>CH 09</t>
    </r>
  </si>
  <si>
    <r>
      <t xml:space="preserve"> Complete All activities in- Learn It, Study It, and Apply It.         Netacad 0 pts.   -- </t>
    </r>
    <r>
      <rPr>
        <b/>
        <sz val="12"/>
        <color theme="1"/>
        <rFont val="Times New Roman"/>
        <family val="1"/>
      </rPr>
      <t>Due</t>
    </r>
  </si>
  <si>
    <t>Ntwk Scanning</t>
  </si>
  <si>
    <t>Netacad (3.0 3.1 3.2 3.3)  17</t>
  </si>
  <si>
    <r>
      <t xml:space="preserve">COMPLETE All activities in Learn It, Study It, and Apply It.       </t>
    </r>
    <r>
      <rPr>
        <b/>
        <sz val="12"/>
        <color theme="1"/>
        <rFont val="Times New Roman"/>
        <family val="1"/>
      </rPr>
      <t xml:space="preserve">Netacad </t>
    </r>
    <r>
      <rPr>
        <b/>
        <sz val="12"/>
        <color theme="1"/>
        <rFont val="Arial"/>
        <family val="2"/>
      </rPr>
      <t>10 pts</t>
    </r>
    <r>
      <rPr>
        <b/>
        <sz val="12"/>
        <color theme="1"/>
        <rFont val="Times New Roman"/>
        <family val="1"/>
      </rPr>
      <t>. --  Due</t>
    </r>
  </si>
  <si>
    <r>
      <t xml:space="preserve">   COMPLETE All activities in Learn It, Study It, and </t>
    </r>
    <r>
      <rPr>
        <b/>
        <sz val="12"/>
        <color theme="1"/>
        <rFont val="Times New Roman"/>
        <family val="1"/>
      </rPr>
      <t>Apply It.        Due</t>
    </r>
  </si>
  <si>
    <r>
      <t xml:space="preserve">Read e-Text </t>
    </r>
    <r>
      <rPr>
        <b/>
        <sz val="12"/>
        <color theme="1"/>
        <rFont val="Times New Roman"/>
        <family val="1"/>
      </rPr>
      <t>Chpt. 10.</t>
    </r>
    <r>
      <rPr>
        <sz val="12"/>
        <color theme="1"/>
        <rFont val="Times New Roman"/>
        <family val="1"/>
      </rPr>
      <t xml:space="preserve"> Wide Area Networking and Cloud Computing</t>
    </r>
  </si>
  <si>
    <r>
      <t xml:space="preserve">Read e-Text </t>
    </r>
    <r>
      <rPr>
        <b/>
        <sz val="12"/>
        <color theme="1"/>
        <rFont val="Arial"/>
        <family val="2"/>
      </rPr>
      <t>Chpt. 11</t>
    </r>
    <r>
      <rPr>
        <sz val="12"/>
        <color theme="1"/>
        <rFont val="Times New Roman"/>
        <family val="1"/>
      </rPr>
      <t xml:space="preserve">. Network Operating System Fundamentals           </t>
    </r>
    <r>
      <rPr>
        <b/>
        <sz val="12"/>
        <color theme="1"/>
        <rFont val="Arial"/>
        <family val="2"/>
      </rPr>
      <t>Mod. 11</t>
    </r>
  </si>
  <si>
    <t>I.C  Tech News</t>
  </si>
  <si>
    <r>
      <t xml:space="preserve">COMPLETE All activities in </t>
    </r>
    <r>
      <rPr>
        <b/>
        <sz val="12"/>
        <color theme="1"/>
        <rFont val="Times New Roman"/>
        <family val="1"/>
      </rPr>
      <t>Learn It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Study It</t>
    </r>
    <r>
      <rPr>
        <sz val="12"/>
        <color theme="1"/>
        <rFont val="Times New Roman"/>
        <family val="1"/>
      </rPr>
      <t xml:space="preserve">, and </t>
    </r>
    <r>
      <rPr>
        <b/>
        <sz val="12"/>
        <color theme="1"/>
        <rFont val="Times New Roman"/>
        <family val="1"/>
      </rPr>
      <t>Apply It.       MOD            Due</t>
    </r>
  </si>
  <si>
    <r>
      <rPr>
        <b/>
        <sz val="12"/>
        <color theme="1"/>
        <rFont val="Times New Roman"/>
        <family val="1"/>
      </rPr>
      <t>Read</t>
    </r>
    <r>
      <rPr>
        <sz val="12"/>
        <color theme="1"/>
        <rFont val="Times New Roman"/>
        <family val="1"/>
      </rPr>
      <t xml:space="preserve"> e-Text        </t>
    </r>
    <r>
      <rPr>
        <b/>
        <sz val="12"/>
        <color theme="1"/>
        <rFont val="Times New Roman"/>
        <family val="1"/>
      </rPr>
      <t>Chpt. 13</t>
    </r>
    <r>
      <rPr>
        <sz val="12"/>
        <color theme="1"/>
        <rFont val="Times New Roman"/>
        <family val="1"/>
      </rPr>
      <t xml:space="preserve">.         </t>
    </r>
    <r>
      <rPr>
        <b/>
        <sz val="12"/>
        <color theme="1"/>
        <rFont val="Times New Roman"/>
        <family val="1"/>
      </rPr>
      <t>The Internet of Things (IoT)</t>
    </r>
  </si>
  <si>
    <r>
      <rPr>
        <b/>
        <sz val="12"/>
        <color theme="1"/>
        <rFont val="Times New Roman"/>
        <family val="1"/>
      </rPr>
      <t>Read</t>
    </r>
    <r>
      <rPr>
        <sz val="12"/>
        <color theme="1"/>
        <rFont val="Times New Roman"/>
        <family val="1"/>
      </rPr>
      <t xml:space="preserve"> e-Text Chpt. 12. </t>
    </r>
    <r>
      <rPr>
        <b/>
        <sz val="12"/>
        <color theme="1"/>
        <rFont val="Times New Roman"/>
        <family val="1"/>
      </rPr>
      <t>Network Management and Administration</t>
    </r>
  </si>
  <si>
    <r>
      <rPr>
        <b/>
        <sz val="12"/>
        <color theme="1"/>
        <rFont val="Times New Roman"/>
        <family val="1"/>
      </rPr>
      <t>Read</t>
    </r>
    <r>
      <rPr>
        <sz val="12"/>
        <color theme="1"/>
        <rFont val="Times New Roman"/>
        <family val="1"/>
      </rPr>
      <t xml:space="preserve"> e-Text </t>
    </r>
    <r>
      <rPr>
        <b/>
        <sz val="12"/>
        <color theme="1"/>
        <rFont val="Times New Roman"/>
        <family val="1"/>
      </rPr>
      <t>Chpt. 14</t>
    </r>
    <r>
      <rPr>
        <sz val="12"/>
        <color theme="1"/>
        <rFont val="Times New Roman"/>
        <family val="1"/>
      </rPr>
      <t xml:space="preserve">. Troubleshooting and Support                      </t>
    </r>
    <r>
      <rPr>
        <b/>
        <sz val="12"/>
        <color theme="1"/>
        <rFont val="Times New Roman"/>
        <family val="1"/>
      </rPr>
      <t xml:space="preserve"> MOD 14</t>
    </r>
  </si>
  <si>
    <t>May 12</t>
  </si>
  <si>
    <t>Apr.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</si>
</sst>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8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ahoma"/>
      <family val="2"/>
    </font>
    <font>
      <b/>
      <sz val="12"/>
      <color theme="1"/>
      <name val="Tenorite"/>
    </font>
    <font>
      <sz val="12"/>
      <color theme="1"/>
      <name val="Tenorite"/>
    </font>
    <font>
      <b/>
      <sz val="12"/>
      <color theme="1"/>
      <name val="Tahoma"/>
      <family val="2"/>
    </font>
    <font>
      <b/>
      <sz val="12"/>
      <color theme="8"/>
      <name val="Tahoma"/>
      <family val="2"/>
    </font>
    <font>
      <sz val="12"/>
      <color theme="8"/>
      <name val="Times New Roman"/>
      <family val="1"/>
    </font>
    <font>
      <b/>
      <sz val="12"/>
      <color theme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4"/>
      <color theme="8"/>
      <name val="Arial"/>
      <family val="2"/>
    </font>
    <font>
      <b/>
      <u/>
      <sz val="12"/>
      <color theme="1"/>
      <name val="Times New Roman"/>
      <family val="1"/>
    </font>
    <font>
      <b/>
      <sz val="12"/>
      <color theme="8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/>
      <bottom style="thin">
        <color theme="0" tint="-0.1499984740745262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double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0" tint="-0.1499984740745262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9847407452621"/>
      </bottom>
      <diagonal/>
    </border>
    <border>
      <left/>
      <right style="medium">
        <color indexed="64"/>
      </right>
      <top/>
      <bottom style="thin">
        <color theme="0" tint="-0.1499984740745262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theme="1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3" fillId="0" borderId="3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8" xfId="0" applyBorder="1"/>
    <xf numFmtId="0" fontId="6" fillId="0" borderId="7" xfId="0" applyFont="1" applyBorder="1"/>
    <xf numFmtId="0" fontId="7" fillId="0" borderId="0" xfId="0" applyFont="1"/>
    <xf numFmtId="0" fontId="7" fillId="0" borderId="3" xfId="0" applyFont="1" applyBorder="1"/>
    <xf numFmtId="0" fontId="3" fillId="0" borderId="6" xfId="0" applyFont="1" applyBorder="1"/>
    <xf numFmtId="0" fontId="0" fillId="0" borderId="10" xfId="0" applyBorder="1"/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1" fillId="0" borderId="0" xfId="0" applyFont="1" applyAlignment="1">
      <alignment horizontal="center"/>
    </xf>
    <xf numFmtId="0" fontId="2" fillId="0" borderId="15" xfId="0" applyFont="1" applyBorder="1"/>
    <xf numFmtId="0" fontId="2" fillId="0" borderId="17" xfId="0" applyFont="1" applyBorder="1"/>
    <xf numFmtId="0" fontId="13" fillId="0" borderId="20" xfId="0" applyFont="1" applyBorder="1"/>
    <xf numFmtId="0" fontId="1" fillId="0" borderId="0" xfId="0" applyFont="1"/>
    <xf numFmtId="0" fontId="12" fillId="0" borderId="0" xfId="0" applyFont="1"/>
    <xf numFmtId="0" fontId="14" fillId="0" borderId="21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" fillId="0" borderId="23" xfId="0" applyFont="1" applyBorder="1" applyAlignment="1">
      <alignment vertical="center" wrapText="1"/>
    </xf>
    <xf numFmtId="14" fontId="1" fillId="0" borderId="31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2" fillId="2" borderId="22" xfId="0" applyFont="1" applyFill="1" applyBorder="1" applyAlignment="1">
      <alignment vertical="center" wrapText="1"/>
    </xf>
    <xf numFmtId="14" fontId="1" fillId="2" borderId="32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14" fontId="1" fillId="0" borderId="34" xfId="0" applyNumberFormat="1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2" xfId="0" applyFont="1" applyBorder="1"/>
    <xf numFmtId="14" fontId="2" fillId="0" borderId="14" xfId="0" applyNumberFormat="1" applyFont="1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14" fontId="2" fillId="0" borderId="19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/>
    </xf>
    <xf numFmtId="0" fontId="14" fillId="0" borderId="40" xfId="0" applyFont="1" applyBorder="1" applyAlignment="1">
      <alignment wrapText="1"/>
    </xf>
    <xf numFmtId="0" fontId="14" fillId="0" borderId="41" xfId="0" applyFont="1" applyBorder="1" applyAlignment="1">
      <alignment horizontal="center" wrapText="1"/>
    </xf>
    <xf numFmtId="0" fontId="2" fillId="0" borderId="2" xfId="0" applyFont="1" applyBorder="1"/>
    <xf numFmtId="0" fontId="2" fillId="0" borderId="2" xfId="0" applyFont="1" applyBorder="1" applyAlignment="1">
      <alignment horizontal="left" vertical="top" wrapText="1"/>
    </xf>
    <xf numFmtId="14" fontId="1" fillId="0" borderId="43" xfId="0" applyNumberFormat="1" applyFont="1" applyBorder="1" applyAlignment="1">
      <alignment horizontal="center" vertical="center" wrapText="1"/>
    </xf>
    <xf numFmtId="14" fontId="1" fillId="2" borderId="45" xfId="0" applyNumberFormat="1" applyFont="1" applyFill="1" applyBorder="1" applyAlignment="1">
      <alignment horizontal="center" vertical="center" wrapText="1"/>
    </xf>
    <xf numFmtId="14" fontId="1" fillId="0" borderId="45" xfId="0" applyNumberFormat="1" applyFont="1" applyBorder="1" applyAlignment="1">
      <alignment horizontal="center" vertical="center" wrapText="1"/>
    </xf>
    <xf numFmtId="14" fontId="1" fillId="3" borderId="45" xfId="0" applyNumberFormat="1" applyFont="1" applyFill="1" applyBorder="1" applyAlignment="1">
      <alignment horizontal="center" vertical="center" wrapText="1"/>
    </xf>
    <xf numFmtId="14" fontId="1" fillId="4" borderId="45" xfId="0" applyNumberFormat="1" applyFont="1" applyFill="1" applyBorder="1" applyAlignment="1">
      <alignment horizontal="center" vertical="center" wrapText="1"/>
    </xf>
    <xf numFmtId="49" fontId="1" fillId="0" borderId="45" xfId="0" applyNumberFormat="1" applyFont="1" applyBorder="1" applyAlignment="1">
      <alignment horizontal="center" vertical="center" wrapText="1"/>
    </xf>
    <xf numFmtId="49" fontId="1" fillId="2" borderId="45" xfId="0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4" xfId="0" applyFont="1" applyBorder="1" applyAlignment="1">
      <alignment horizontal="left" vertical="top" wrapText="1"/>
    </xf>
    <xf numFmtId="0" fontId="1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 wrapText="1"/>
    </xf>
    <xf numFmtId="14" fontId="2" fillId="2" borderId="45" xfId="0" applyNumberFormat="1" applyFont="1" applyFill="1" applyBorder="1" applyAlignment="1">
      <alignment horizontal="center" vertical="center" wrapText="1"/>
    </xf>
    <xf numFmtId="14" fontId="2" fillId="3" borderId="45" xfId="0" applyNumberFormat="1" applyFont="1" applyFill="1" applyBorder="1" applyAlignment="1">
      <alignment horizontal="center" vertical="center" wrapText="1"/>
    </xf>
    <xf numFmtId="14" fontId="2" fillId="4" borderId="45" xfId="0" applyNumberFormat="1" applyFont="1" applyFill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center" vertical="center" wrapText="1"/>
    </xf>
    <xf numFmtId="14" fontId="2" fillId="0" borderId="47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2" fillId="0" borderId="45" xfId="0" applyFont="1" applyBorder="1" applyAlignment="1">
      <alignment vertical="center" wrapText="1"/>
    </xf>
    <xf numFmtId="0" fontId="11" fillId="0" borderId="0" xfId="0" applyFont="1" applyAlignment="1">
      <alignment wrapText="1" shrinkToFi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0" fillId="4" borderId="0" xfId="0" applyFill="1" applyAlignment="1">
      <alignment horizontal="left" vertical="center" indent="1"/>
    </xf>
    <xf numFmtId="0" fontId="11" fillId="0" borderId="0" xfId="0" applyFont="1" applyAlignment="1">
      <alignment vertical="center" wrapText="1" shrinkToFit="1"/>
    </xf>
    <xf numFmtId="0" fontId="2" fillId="0" borderId="3" xfId="0" applyFont="1" applyBorder="1"/>
    <xf numFmtId="0" fontId="14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1" fillId="5" borderId="0" xfId="0" applyFont="1" applyFill="1"/>
    <xf numFmtId="0" fontId="11" fillId="3" borderId="0" xfId="0" applyFont="1" applyFill="1"/>
    <xf numFmtId="0" fontId="12" fillId="3" borderId="0" xfId="0" applyFont="1" applyFill="1"/>
    <xf numFmtId="0" fontId="11" fillId="4" borderId="0" xfId="0" applyFont="1" applyFill="1"/>
    <xf numFmtId="0" fontId="11" fillId="2" borderId="0" xfId="0" applyFont="1" applyFill="1"/>
    <xf numFmtId="0" fontId="1" fillId="0" borderId="30" xfId="0" applyFont="1" applyBorder="1" applyAlignment="1">
      <alignment horizontal="center" wrapText="1"/>
    </xf>
    <xf numFmtId="0" fontId="2" fillId="2" borderId="12" xfId="0" applyFont="1" applyFill="1" applyBorder="1" applyAlignment="1">
      <alignment vertical="center" wrapText="1"/>
    </xf>
    <xf numFmtId="14" fontId="1" fillId="2" borderId="34" xfId="0" applyNumberFormat="1" applyFont="1" applyFill="1" applyBorder="1" applyAlignment="1">
      <alignment horizontal="center" vertical="center" wrapText="1"/>
    </xf>
    <xf numFmtId="0" fontId="2" fillId="0" borderId="49" xfId="0" applyFont="1" applyBorder="1" applyAlignment="1">
      <alignment vertical="center" wrapText="1"/>
    </xf>
    <xf numFmtId="14" fontId="1" fillId="0" borderId="50" xfId="0" applyNumberFormat="1" applyFont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14" fontId="1" fillId="2" borderId="50" xfId="0" applyNumberFormat="1" applyFont="1" applyFill="1" applyBorder="1" applyAlignment="1">
      <alignment horizontal="center" vertical="center" wrapText="1"/>
    </xf>
    <xf numFmtId="14" fontId="1" fillId="0" borderId="52" xfId="0" applyNumberFormat="1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49" fontId="1" fillId="0" borderId="34" xfId="0" applyNumberFormat="1" applyFont="1" applyBorder="1" applyAlignment="1">
      <alignment horizontal="center" vertical="center" wrapText="1"/>
    </xf>
    <xf numFmtId="49" fontId="1" fillId="6" borderId="50" xfId="0" applyNumberFormat="1" applyFont="1" applyFill="1" applyBorder="1" applyAlignment="1">
      <alignment horizontal="center" vertical="center" wrapText="1"/>
    </xf>
    <xf numFmtId="49" fontId="1" fillId="6" borderId="34" xfId="0" applyNumberFormat="1" applyFont="1" applyFill="1" applyBorder="1" applyAlignment="1">
      <alignment horizontal="center" vertical="center" wrapText="1"/>
    </xf>
    <xf numFmtId="14" fontId="1" fillId="4" borderId="50" xfId="0" applyNumberFormat="1" applyFont="1" applyFill="1" applyBorder="1" applyAlignment="1">
      <alignment horizontal="center" vertical="center" wrapText="1"/>
    </xf>
    <xf numFmtId="14" fontId="1" fillId="4" borderId="34" xfId="0" applyNumberFormat="1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3" borderId="49" xfId="0" applyFont="1" applyFill="1" applyBorder="1" applyAlignment="1">
      <alignment vertical="center" wrapText="1"/>
    </xf>
    <xf numFmtId="0" fontId="1" fillId="0" borderId="29" xfId="0" applyFont="1" applyBorder="1" applyAlignment="1">
      <alignment wrapText="1"/>
    </xf>
    <xf numFmtId="14" fontId="1" fillId="3" borderId="54" xfId="0" applyNumberFormat="1" applyFont="1" applyFill="1" applyBorder="1" applyAlignment="1">
      <alignment horizontal="center" vertical="center" wrapText="1"/>
    </xf>
    <xf numFmtId="14" fontId="1" fillId="3" borderId="32" xfId="0" applyNumberFormat="1" applyFont="1" applyFill="1" applyBorder="1" applyAlignment="1">
      <alignment horizontal="center" vertical="center" wrapText="1"/>
    </xf>
    <xf numFmtId="0" fontId="2" fillId="3" borderId="55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left" vertical="top" wrapText="1"/>
    </xf>
    <xf numFmtId="0" fontId="2" fillId="6" borderId="12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" fillId="0" borderId="49" xfId="0" applyFont="1" applyBorder="1" applyAlignment="1">
      <alignment horizontal="right" vertical="center" wrapText="1"/>
    </xf>
    <xf numFmtId="0" fontId="2" fillId="2" borderId="49" xfId="0" applyFont="1" applyFill="1" applyBorder="1" applyAlignment="1">
      <alignment vertical="center" wrapText="1"/>
    </xf>
    <xf numFmtId="0" fontId="2" fillId="6" borderId="49" xfId="0" applyFont="1" applyFill="1" applyBorder="1" applyAlignment="1">
      <alignment horizontal="left" vertical="top" wrapText="1"/>
    </xf>
    <xf numFmtId="0" fontId="11" fillId="0" borderId="8" xfId="0" applyFont="1" applyBorder="1"/>
    <xf numFmtId="0" fontId="2" fillId="0" borderId="49" xfId="0" applyFont="1" applyBorder="1" applyAlignment="1">
      <alignment horizontal="left" vertical="center" wrapText="1"/>
    </xf>
    <xf numFmtId="0" fontId="1" fillId="0" borderId="57" xfId="0" applyFont="1" applyBorder="1"/>
    <xf numFmtId="49" fontId="2" fillId="0" borderId="26" xfId="0" applyNumberFormat="1" applyFont="1" applyBorder="1"/>
    <xf numFmtId="49" fontId="2" fillId="0" borderId="48" xfId="0" applyNumberFormat="1" applyFont="1" applyBorder="1"/>
    <xf numFmtId="49" fontId="1" fillId="0" borderId="33" xfId="0" applyNumberFormat="1" applyFont="1" applyBorder="1"/>
    <xf numFmtId="49" fontId="1" fillId="0" borderId="51" xfId="0" applyNumberFormat="1" applyFont="1" applyBorder="1"/>
    <xf numFmtId="49" fontId="1" fillId="0" borderId="48" xfId="0" applyNumberFormat="1" applyFont="1" applyBorder="1"/>
    <xf numFmtId="0" fontId="2" fillId="0" borderId="27" xfId="0" applyFont="1" applyBorder="1" applyAlignment="1">
      <alignment horizontal="center"/>
    </xf>
    <xf numFmtId="49" fontId="2" fillId="0" borderId="33" xfId="0" applyNumberFormat="1" applyFont="1" applyBorder="1"/>
    <xf numFmtId="49" fontId="2" fillId="3" borderId="48" xfId="0" applyNumberFormat="1" applyFont="1" applyFill="1" applyBorder="1"/>
    <xf numFmtId="0" fontId="2" fillId="0" borderId="8" xfId="0" applyFont="1" applyBorder="1"/>
    <xf numFmtId="0" fontId="1" fillId="0" borderId="21" xfId="0" applyFont="1" applyBorder="1" applyAlignment="1">
      <alignment horizontal="center"/>
    </xf>
    <xf numFmtId="14" fontId="2" fillId="0" borderId="34" xfId="0" applyNumberFormat="1" applyFont="1" applyBorder="1" applyAlignment="1">
      <alignment horizontal="center" vertical="center" wrapText="1"/>
    </xf>
    <xf numFmtId="14" fontId="2" fillId="2" borderId="34" xfId="0" applyNumberFormat="1" applyFont="1" applyFill="1" applyBorder="1" applyAlignment="1">
      <alignment horizontal="center" vertical="center" wrapText="1"/>
    </xf>
    <xf numFmtId="49" fontId="1" fillId="0" borderId="53" xfId="0" applyNumberFormat="1" applyFont="1" applyBorder="1"/>
    <xf numFmtId="49" fontId="1" fillId="0" borderId="35" xfId="0" applyNumberFormat="1" applyFont="1" applyBorder="1"/>
    <xf numFmtId="0" fontId="15" fillId="0" borderId="24" xfId="0" applyFont="1" applyBorder="1" applyAlignment="1">
      <alignment horizontal="center"/>
    </xf>
    <xf numFmtId="49" fontId="15" fillId="0" borderId="33" xfId="0" applyNumberFormat="1" applyFont="1" applyBorder="1"/>
    <xf numFmtId="14" fontId="1" fillId="3" borderId="50" xfId="0" applyNumberFormat="1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/>
    </xf>
    <xf numFmtId="0" fontId="13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5" fillId="0" borderId="36" xfId="0" applyFont="1" applyBorder="1"/>
    <xf numFmtId="0" fontId="1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23" fillId="0" borderId="56" xfId="0" applyFont="1" applyBorder="1"/>
    <xf numFmtId="0" fontId="24" fillId="0" borderId="0" xfId="0" applyFont="1"/>
    <xf numFmtId="0" fontId="25" fillId="0" borderId="21" xfId="0" applyFont="1" applyBorder="1" applyAlignment="1">
      <alignment horizontal="center" vertical="center"/>
    </xf>
    <xf numFmtId="0" fontId="1" fillId="0" borderId="21" xfId="0" applyFont="1" applyBorder="1"/>
    <xf numFmtId="0" fontId="11" fillId="7" borderId="0" xfId="0" applyFont="1" applyFill="1"/>
    <xf numFmtId="0" fontId="2" fillId="7" borderId="0" xfId="0" applyFont="1" applyFill="1"/>
    <xf numFmtId="0" fontId="20" fillId="7" borderId="0" xfId="0" applyFont="1" applyFill="1"/>
    <xf numFmtId="0" fontId="23" fillId="7" borderId="0" xfId="0" applyFont="1" applyFill="1"/>
    <xf numFmtId="0" fontId="1" fillId="7" borderId="0" xfId="0" applyFont="1" applyFill="1"/>
    <xf numFmtId="0" fontId="12" fillId="7" borderId="0" xfId="0" applyFont="1" applyFill="1"/>
    <xf numFmtId="0" fontId="2" fillId="4" borderId="0" xfId="0" applyFont="1" applyFill="1"/>
    <xf numFmtId="0" fontId="20" fillId="4" borderId="0" xfId="0" applyFont="1" applyFill="1"/>
    <xf numFmtId="0" fontId="23" fillId="4" borderId="0" xfId="0" applyFont="1" applyFill="1"/>
    <xf numFmtId="0" fontId="1" fillId="4" borderId="0" xfId="0" applyFont="1" applyFill="1"/>
    <xf numFmtId="0" fontId="11" fillId="6" borderId="0" xfId="0" applyFont="1" applyFill="1"/>
    <xf numFmtId="0" fontId="20" fillId="6" borderId="0" xfId="0" applyFont="1" applyFill="1"/>
    <xf numFmtId="0" fontId="23" fillId="6" borderId="0" xfId="0" applyFont="1" applyFill="1"/>
    <xf numFmtId="0" fontId="1" fillId="6" borderId="0" xfId="0" applyFont="1" applyFill="1"/>
    <xf numFmtId="49" fontId="23" fillId="0" borderId="50" xfId="0" applyNumberFormat="1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/>
    </xf>
    <xf numFmtId="49" fontId="27" fillId="0" borderId="48" xfId="0" applyNumberFormat="1" applyFont="1" applyBorder="1"/>
    <xf numFmtId="0" fontId="1" fillId="8" borderId="24" xfId="0" applyFont="1" applyFill="1" applyBorder="1" applyAlignment="1">
      <alignment horizontal="center"/>
    </xf>
    <xf numFmtId="49" fontId="2" fillId="8" borderId="33" xfId="0" applyNumberFormat="1" applyFont="1" applyFill="1" applyBorder="1"/>
    <xf numFmtId="0" fontId="1" fillId="8" borderId="12" xfId="0" applyFont="1" applyFill="1" applyBorder="1" applyAlignment="1">
      <alignment horizontal="left" vertical="top" wrapText="1"/>
    </xf>
    <xf numFmtId="14" fontId="1" fillId="8" borderId="34" xfId="0" applyNumberFormat="1" applyFont="1" applyFill="1" applyBorder="1" applyAlignment="1">
      <alignment horizontal="center" vertical="center" wrapText="1"/>
    </xf>
    <xf numFmtId="0" fontId="23" fillId="8" borderId="0" xfId="0" applyFont="1" applyFill="1"/>
    <xf numFmtId="0" fontId="11" fillId="8" borderId="0" xfId="0" applyFont="1" applyFill="1"/>
    <xf numFmtId="0" fontId="20" fillId="8" borderId="0" xfId="0" applyFont="1" applyFill="1"/>
    <xf numFmtId="49" fontId="2" fillId="8" borderId="35" xfId="0" applyNumberFormat="1" applyFont="1" applyFill="1" applyBorder="1"/>
    <xf numFmtId="0" fontId="1" fillId="8" borderId="11" xfId="0" applyFont="1" applyFill="1" applyBorder="1" applyAlignment="1">
      <alignment horizontal="left" vertical="top" wrapText="1"/>
    </xf>
    <xf numFmtId="14" fontId="1" fillId="8" borderId="36" xfId="0" applyNumberFormat="1" applyFont="1" applyFill="1" applyBorder="1" applyAlignment="1">
      <alignment horizontal="center" vertical="center" wrapText="1"/>
    </xf>
    <xf numFmtId="0" fontId="1" fillId="8" borderId="25" xfId="0" applyFont="1" applyFill="1" applyBorder="1" applyAlignment="1">
      <alignment horizontal="center"/>
    </xf>
    <xf numFmtId="0" fontId="2" fillId="8" borderId="37" xfId="0" applyFont="1" applyFill="1" applyBorder="1"/>
    <xf numFmtId="0" fontId="2" fillId="8" borderId="38" xfId="0" applyFont="1" applyFill="1" applyBorder="1"/>
    <xf numFmtId="49" fontId="23" fillId="8" borderId="50" xfId="0" applyNumberFormat="1" applyFont="1" applyFill="1" applyBorder="1" applyAlignment="1">
      <alignment horizontal="center" vertical="center" wrapText="1"/>
    </xf>
    <xf numFmtId="0" fontId="23" fillId="8" borderId="56" xfId="0" applyFont="1" applyFill="1" applyBorder="1"/>
    <xf numFmtId="0" fontId="11" fillId="8" borderId="8" xfId="0" applyFont="1" applyFill="1" applyBorder="1"/>
    <xf numFmtId="0" fontId="1" fillId="8" borderId="8" xfId="0" applyFont="1" applyFill="1" applyBorder="1"/>
    <xf numFmtId="0" fontId="26" fillId="8" borderId="0" xfId="0" applyFont="1" applyFill="1"/>
    <xf numFmtId="0" fontId="12" fillId="8" borderId="0" xfId="0" applyFont="1" applyFill="1"/>
    <xf numFmtId="0" fontId="28" fillId="0" borderId="0" xfId="0" applyFont="1"/>
    <xf numFmtId="0" fontId="2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484910</xdr:colOff>
      <xdr:row>30</xdr:row>
      <xdr:rowOff>43295</xdr:rowOff>
    </xdr:from>
    <xdr:to>
      <xdr:col>17</xdr:col>
      <xdr:colOff>361002</xdr:colOff>
      <xdr:row>52</xdr:row>
      <xdr:rowOff>44489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569A21-B58D-6CAC-9025-7CE0C3110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0410" y="5931477"/>
          <a:ext cx="7600000" cy="4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AD63-5F9C-4974-9B05-E54D46C2D806}">
  <sheetPr>
    <pageSetUpPr fitToPage="1"/>
  </sheetPr>
  <dimension ref="A1:K45"/>
  <sheetViews>
    <sheetView topLeftCell="A7" zoomScaleNormal="100" workbookViewId="0">
      <selection activeCell="A4" sqref="A4"/>
    </sheetView>
  </sheetViews>
  <sheetFormatPr defaultColWidth="8.85546875" defaultRowHeight="15.75" x14ac:dyDescent="0.25"/>
  <cols>
    <col min="1" max="1" width="5" style="38" customWidth="1"/>
    <col min="2" max="2" width="18.42578125" style="2" customWidth="1"/>
    <col min="3" max="3" width="62" style="2" customWidth="1"/>
    <col min="4" max="4" width="56.7109375" style="24" bestFit="1" customWidth="1"/>
    <col min="5" max="5" width="2" style="24" customWidth="1"/>
    <col min="6" max="6" width="7.28515625" style="2" customWidth="1"/>
    <col min="7" max="7" width="7.42578125" style="2" customWidth="1"/>
    <col min="8" max="8" width="16.42578125" style="2" customWidth="1"/>
    <col min="9" max="9" width="1.5703125" style="2" customWidth="1"/>
    <col min="10" max="10" width="7" style="2" customWidth="1"/>
    <col min="11" max="11" width="11" style="2" customWidth="1"/>
    <col min="12" max="16384" width="8.85546875" style="2"/>
  </cols>
  <sheetData>
    <row r="1" spans="1:11" ht="22.7" customHeight="1" thickBot="1" x14ac:dyDescent="0.35">
      <c r="A1" s="44" t="s">
        <v>32</v>
      </c>
      <c r="B1" s="74" t="s">
        <v>48</v>
      </c>
      <c r="C1" s="75" t="s">
        <v>49</v>
      </c>
      <c r="D1" s="76" t="s">
        <v>50</v>
      </c>
      <c r="E1" s="110"/>
      <c r="F1" s="38" t="s">
        <v>30</v>
      </c>
      <c r="G1" s="38" t="s">
        <v>31</v>
      </c>
      <c r="H1" s="41" t="s">
        <v>119</v>
      </c>
      <c r="J1" s="2" t="s">
        <v>109</v>
      </c>
      <c r="K1" s="2" t="s">
        <v>110</v>
      </c>
    </row>
    <row r="2" spans="1:11" s="37" customFormat="1" ht="36" customHeight="1" x14ac:dyDescent="0.25">
      <c r="A2" s="88">
        <v>1</v>
      </c>
      <c r="B2" s="80" t="s">
        <v>60</v>
      </c>
      <c r="C2" s="72" t="s">
        <v>61</v>
      </c>
      <c r="D2" s="79" t="s">
        <v>59</v>
      </c>
      <c r="E2" s="111"/>
      <c r="F2" s="100"/>
      <c r="H2" s="103"/>
    </row>
    <row r="3" spans="1:11" s="37" customFormat="1" ht="36" customHeight="1" x14ac:dyDescent="0.25">
      <c r="A3" s="89">
        <v>2</v>
      </c>
      <c r="B3" s="81" t="s">
        <v>51</v>
      </c>
      <c r="C3" s="62" t="s">
        <v>76</v>
      </c>
      <c r="D3" s="92" t="s">
        <v>87</v>
      </c>
      <c r="E3" s="60"/>
      <c r="F3" s="100"/>
      <c r="H3" s="108"/>
    </row>
    <row r="4" spans="1:11" s="37" customFormat="1" ht="36" customHeight="1" x14ac:dyDescent="0.25">
      <c r="A4" s="89">
        <v>3</v>
      </c>
      <c r="B4" s="80" t="s">
        <v>52</v>
      </c>
      <c r="C4" s="98" t="s">
        <v>85</v>
      </c>
      <c r="D4" s="93" t="s">
        <v>89</v>
      </c>
      <c r="E4" s="112"/>
      <c r="F4" s="100"/>
      <c r="G4" s="116"/>
      <c r="H4" s="108"/>
    </row>
    <row r="5" spans="1:11" s="37" customFormat="1" ht="36" customHeight="1" x14ac:dyDescent="0.25">
      <c r="A5" s="89">
        <v>4</v>
      </c>
      <c r="B5" s="81" t="s">
        <v>53</v>
      </c>
      <c r="C5" s="62" t="s">
        <v>62</v>
      </c>
      <c r="D5" s="92" t="s">
        <v>90</v>
      </c>
      <c r="E5" s="60"/>
      <c r="F5" s="100"/>
      <c r="H5" s="108"/>
    </row>
    <row r="6" spans="1:11" s="37" customFormat="1" ht="36" customHeight="1" x14ac:dyDescent="0.25">
      <c r="A6" s="89">
        <v>5</v>
      </c>
      <c r="B6" s="82" t="s">
        <v>54</v>
      </c>
      <c r="C6" s="66" t="s">
        <v>63</v>
      </c>
      <c r="D6" s="94" t="s">
        <v>86</v>
      </c>
      <c r="E6" s="113"/>
      <c r="F6" s="100"/>
      <c r="G6" s="117"/>
      <c r="H6" s="108"/>
    </row>
    <row r="7" spans="1:11" s="37" customFormat="1" ht="36" customHeight="1" x14ac:dyDescent="0.25">
      <c r="A7" s="89">
        <v>6</v>
      </c>
      <c r="B7" s="81" t="s">
        <v>55</v>
      </c>
      <c r="C7" s="62" t="s">
        <v>64</v>
      </c>
      <c r="D7" s="102" t="s">
        <v>92</v>
      </c>
      <c r="E7" s="1"/>
      <c r="F7" s="100"/>
      <c r="H7" s="108"/>
    </row>
    <row r="8" spans="1:11" s="37" customFormat="1" ht="36" customHeight="1" x14ac:dyDescent="0.25">
      <c r="A8" s="89">
        <v>7</v>
      </c>
      <c r="B8" s="82" t="s">
        <v>56</v>
      </c>
      <c r="C8" s="66" t="s">
        <v>91</v>
      </c>
      <c r="D8" s="94" t="s">
        <v>88</v>
      </c>
      <c r="E8" s="113"/>
      <c r="F8" s="100"/>
      <c r="G8" s="117"/>
      <c r="H8" s="108"/>
    </row>
    <row r="9" spans="1:11" s="37" customFormat="1" ht="36" customHeight="1" x14ac:dyDescent="0.25">
      <c r="A9" s="89"/>
      <c r="B9" s="82" t="s">
        <v>43</v>
      </c>
      <c r="C9" s="105" t="s">
        <v>79</v>
      </c>
      <c r="D9" s="94" t="s">
        <v>65</v>
      </c>
      <c r="E9" s="113"/>
      <c r="F9" s="101"/>
      <c r="G9" s="118"/>
      <c r="H9" s="108"/>
    </row>
    <row r="10" spans="1:11" s="37" customFormat="1" ht="36" customHeight="1" x14ac:dyDescent="0.25">
      <c r="A10" s="89">
        <v>8</v>
      </c>
      <c r="B10" s="81" t="s">
        <v>57</v>
      </c>
      <c r="C10" s="68" t="s">
        <v>78</v>
      </c>
      <c r="D10" s="102" t="s">
        <v>97</v>
      </c>
      <c r="E10" s="60"/>
      <c r="F10" s="100"/>
      <c r="H10" s="108"/>
    </row>
    <row r="11" spans="1:11" s="37" customFormat="1" ht="36" customHeight="1" x14ac:dyDescent="0.25">
      <c r="A11" s="89">
        <v>9</v>
      </c>
      <c r="B11" s="83" t="s">
        <v>80</v>
      </c>
      <c r="C11" s="104" t="s">
        <v>77</v>
      </c>
      <c r="D11" s="95" t="s">
        <v>95</v>
      </c>
      <c r="E11" s="114"/>
      <c r="F11" s="100"/>
      <c r="G11" s="119"/>
      <c r="H11" s="108"/>
    </row>
    <row r="12" spans="1:11" s="37" customFormat="1" ht="36" customHeight="1" x14ac:dyDescent="0.25">
      <c r="A12" s="89">
        <v>10</v>
      </c>
      <c r="B12" s="81" t="s">
        <v>81</v>
      </c>
      <c r="C12" s="62" t="s">
        <v>66</v>
      </c>
      <c r="D12" s="102" t="s">
        <v>96</v>
      </c>
      <c r="E12" s="1"/>
      <c r="F12" s="100"/>
      <c r="H12" s="108"/>
    </row>
    <row r="13" spans="1:11" s="37" customFormat="1" ht="36" customHeight="1" x14ac:dyDescent="0.25">
      <c r="A13" s="89">
        <v>11</v>
      </c>
      <c r="B13" s="83" t="s">
        <v>84</v>
      </c>
      <c r="C13" s="67" t="s">
        <v>94</v>
      </c>
      <c r="D13" s="95" t="s">
        <v>101</v>
      </c>
      <c r="E13" s="114"/>
      <c r="F13" s="100"/>
      <c r="G13" s="119"/>
      <c r="H13" s="108"/>
    </row>
    <row r="14" spans="1:11" s="37" customFormat="1" ht="21.4" customHeight="1" x14ac:dyDescent="0.25">
      <c r="A14" s="89">
        <v>12</v>
      </c>
      <c r="B14" s="64"/>
      <c r="C14" s="69" t="s">
        <v>83</v>
      </c>
      <c r="D14" s="95" t="s">
        <v>98</v>
      </c>
      <c r="E14" s="114"/>
      <c r="F14" s="101"/>
      <c r="H14" s="108"/>
    </row>
    <row r="15" spans="1:11" s="37" customFormat="1" ht="21.4" customHeight="1" x14ac:dyDescent="0.25">
      <c r="A15" s="89">
        <v>13</v>
      </c>
      <c r="B15" s="64"/>
      <c r="C15" s="106" t="s">
        <v>103</v>
      </c>
      <c r="D15" s="95" t="s">
        <v>102</v>
      </c>
      <c r="E15" s="114"/>
      <c r="F15" s="101"/>
      <c r="H15" s="108"/>
    </row>
    <row r="16" spans="1:11" s="37" customFormat="1" ht="36" customHeight="1" x14ac:dyDescent="0.25">
      <c r="A16" s="89">
        <v>14</v>
      </c>
      <c r="B16" s="84" t="s">
        <v>107</v>
      </c>
      <c r="C16" s="62" t="s">
        <v>93</v>
      </c>
      <c r="D16" s="102" t="s">
        <v>106</v>
      </c>
      <c r="E16" s="1"/>
      <c r="F16" s="101"/>
      <c r="H16" s="108"/>
    </row>
    <row r="17" spans="1:8" s="37" customFormat="1" ht="36" customHeight="1" x14ac:dyDescent="0.25">
      <c r="A17" s="89">
        <v>15</v>
      </c>
      <c r="B17" s="84" t="s">
        <v>46</v>
      </c>
      <c r="C17" s="70" t="s">
        <v>104</v>
      </c>
      <c r="D17" s="96" t="s">
        <v>99</v>
      </c>
      <c r="E17" s="115"/>
      <c r="F17" s="100"/>
      <c r="H17" s="108"/>
    </row>
    <row r="18" spans="1:8" s="37" customFormat="1" ht="36" customHeight="1" x14ac:dyDescent="0.25">
      <c r="A18" s="89">
        <v>16</v>
      </c>
      <c r="B18" s="85" t="s">
        <v>58</v>
      </c>
      <c r="C18" s="65" t="s">
        <v>105</v>
      </c>
      <c r="D18" s="93" t="s">
        <v>100</v>
      </c>
      <c r="E18" s="112"/>
      <c r="F18" s="100"/>
      <c r="G18" s="120"/>
      <c r="H18" s="108"/>
    </row>
    <row r="19" spans="1:8" s="37" customFormat="1" ht="36" customHeight="1" x14ac:dyDescent="0.25">
      <c r="A19" s="89"/>
      <c r="B19" s="84" t="s">
        <v>67</v>
      </c>
      <c r="C19" s="70" t="s">
        <v>68</v>
      </c>
      <c r="D19" s="96" t="s">
        <v>69</v>
      </c>
      <c r="E19" s="115"/>
      <c r="F19" s="101"/>
      <c r="H19" s="108"/>
    </row>
    <row r="20" spans="1:8" s="37" customFormat="1" ht="16.350000000000001" customHeight="1" thickBot="1" x14ac:dyDescent="0.3">
      <c r="A20" s="90"/>
      <c r="B20" s="86"/>
      <c r="C20" s="87"/>
      <c r="D20" s="97"/>
      <c r="E20" s="60"/>
      <c r="F20" s="101"/>
    </row>
    <row r="21" spans="1:8" s="37" customFormat="1" ht="16.350000000000001" customHeight="1" x14ac:dyDescent="0.25">
      <c r="A21" s="91"/>
      <c r="B21" s="77"/>
      <c r="C21" s="78"/>
      <c r="D21" s="73"/>
      <c r="E21" s="111"/>
      <c r="G21" s="38">
        <f>SUM(G2:G20)</f>
        <v>0</v>
      </c>
      <c r="H21" s="43" t="s">
        <v>82</v>
      </c>
    </row>
    <row r="22" spans="1:8" s="37" customFormat="1" ht="16.350000000000001" customHeight="1" x14ac:dyDescent="0.25">
      <c r="A22" s="61"/>
      <c r="B22" s="64"/>
      <c r="C22" s="71"/>
      <c r="D22" s="63"/>
      <c r="E22" s="111"/>
    </row>
    <row r="23" spans="1:8" s="37" customFormat="1" ht="16.350000000000001" customHeight="1" x14ac:dyDescent="0.25">
      <c r="A23" s="61"/>
      <c r="B23" s="64"/>
      <c r="C23" s="71"/>
      <c r="D23" s="63"/>
      <c r="E23" s="111"/>
    </row>
    <row r="24" spans="1:8" s="37" customFormat="1" ht="16.350000000000001" customHeight="1" x14ac:dyDescent="0.25">
      <c r="A24" s="61"/>
      <c r="B24" s="64"/>
      <c r="C24" s="71"/>
      <c r="D24" s="63"/>
      <c r="E24" s="111"/>
    </row>
    <row r="25" spans="1:8" ht="16.350000000000001" customHeight="1" x14ac:dyDescent="0.25">
      <c r="B25" s="39"/>
      <c r="D25" s="57"/>
      <c r="E25" s="60"/>
      <c r="F25" s="38" t="s">
        <v>70</v>
      </c>
    </row>
    <row r="26" spans="1:8" ht="16.350000000000001" customHeight="1" thickBot="1" x14ac:dyDescent="0.3">
      <c r="B26" s="40"/>
      <c r="C26" s="58"/>
      <c r="D26" s="59"/>
      <c r="E26" s="60"/>
    </row>
    <row r="27" spans="1:8" ht="16.350000000000001" customHeight="1" x14ac:dyDescent="0.25">
      <c r="C27" s="1"/>
      <c r="D27" s="60"/>
      <c r="E27" s="60"/>
    </row>
    <row r="28" spans="1:8" ht="16.350000000000001" customHeight="1" x14ac:dyDescent="0.25">
      <c r="C28" s="1"/>
      <c r="D28" s="99" t="s">
        <v>75</v>
      </c>
      <c r="E28" s="99"/>
      <c r="F28" s="2">
        <v>520</v>
      </c>
    </row>
    <row r="29" spans="1:8" ht="16.350000000000001" customHeight="1" x14ac:dyDescent="0.25">
      <c r="B29" s="42" t="s">
        <v>34</v>
      </c>
      <c r="D29" s="107" t="s">
        <v>74</v>
      </c>
      <c r="E29" s="107"/>
      <c r="F29" s="2">
        <v>120</v>
      </c>
    </row>
    <row r="30" spans="1:8" ht="16.350000000000001" customHeight="1" x14ac:dyDescent="0.25">
      <c r="D30" s="107" t="s">
        <v>71</v>
      </c>
      <c r="E30" s="107"/>
      <c r="F30" s="2">
        <v>120</v>
      </c>
    </row>
    <row r="31" spans="1:8" ht="16.350000000000001" customHeight="1" x14ac:dyDescent="0.25">
      <c r="D31" s="107" t="s">
        <v>72</v>
      </c>
      <c r="E31" s="107"/>
      <c r="F31" s="2">
        <v>150</v>
      </c>
    </row>
    <row r="32" spans="1:8" ht="16.350000000000001" customHeight="1" thickBot="1" x14ac:dyDescent="0.3">
      <c r="C32"/>
      <c r="D32" s="107" t="s">
        <v>73</v>
      </c>
      <c r="E32" s="107"/>
      <c r="F32" s="109">
        <v>90</v>
      </c>
    </row>
    <row r="33" spans="2:8" x14ac:dyDescent="0.25">
      <c r="F33" s="42">
        <f>SUM(F28:F32)</f>
        <v>1000</v>
      </c>
    </row>
    <row r="34" spans="2:8" ht="16.350000000000001" customHeight="1" x14ac:dyDescent="0.25"/>
    <row r="35" spans="2:8" s="38" customFormat="1" ht="16.350000000000001" customHeight="1" x14ac:dyDescent="0.25">
      <c r="B35" s="2"/>
      <c r="C35" s="2"/>
      <c r="D35" s="24"/>
      <c r="E35" s="24"/>
      <c r="F35" s="2"/>
      <c r="G35" s="2"/>
      <c r="H35" s="2"/>
    </row>
    <row r="36" spans="2:8" s="38" customFormat="1" ht="16.350000000000001" customHeight="1" x14ac:dyDescent="0.25">
      <c r="B36" s="2"/>
      <c r="C36" s="2"/>
      <c r="D36" s="24"/>
      <c r="E36" s="24"/>
      <c r="F36" s="2"/>
      <c r="G36" s="2"/>
      <c r="H36" s="2"/>
    </row>
    <row r="37" spans="2:8" s="38" customFormat="1" ht="16.350000000000001" customHeight="1" x14ac:dyDescent="0.25">
      <c r="B37" s="2"/>
      <c r="C37" s="2"/>
      <c r="D37" s="24"/>
      <c r="E37" s="24"/>
      <c r="F37" s="2"/>
      <c r="G37" s="2"/>
      <c r="H37" s="2"/>
    </row>
    <row r="38" spans="2:8" s="38" customFormat="1" ht="16.350000000000001" customHeight="1" x14ac:dyDescent="0.25">
      <c r="B38" s="2"/>
      <c r="C38" s="2"/>
      <c r="D38" s="24"/>
      <c r="E38" s="24"/>
      <c r="F38" s="2"/>
      <c r="G38" s="2"/>
      <c r="H38" s="2"/>
    </row>
    <row r="39" spans="2:8" s="38" customFormat="1" ht="16.350000000000001" customHeight="1" x14ac:dyDescent="0.25">
      <c r="B39" s="2"/>
      <c r="C39" s="2"/>
      <c r="D39" s="24"/>
      <c r="E39" s="24"/>
      <c r="F39" s="2"/>
      <c r="G39" s="2"/>
      <c r="H39" s="2"/>
    </row>
    <row r="40" spans="2:8" s="38" customFormat="1" ht="16.350000000000001" customHeight="1" x14ac:dyDescent="0.25">
      <c r="B40" s="2"/>
      <c r="C40" s="2"/>
      <c r="D40" s="24"/>
      <c r="E40" s="24"/>
      <c r="F40" s="2"/>
      <c r="G40" s="2"/>
      <c r="H40" s="2"/>
    </row>
    <row r="41" spans="2:8" s="38" customFormat="1" ht="16.350000000000001" customHeight="1" x14ac:dyDescent="0.25">
      <c r="B41" s="2"/>
      <c r="C41" s="2"/>
      <c r="D41" s="24"/>
      <c r="E41" s="24"/>
      <c r="F41" s="2"/>
      <c r="G41" s="2"/>
      <c r="H41" s="2"/>
    </row>
    <row r="42" spans="2:8" s="38" customFormat="1" ht="16.350000000000001" customHeight="1" x14ac:dyDescent="0.25">
      <c r="B42" s="2"/>
      <c r="C42" s="2"/>
      <c r="D42" s="24"/>
      <c r="E42" s="24"/>
      <c r="F42" s="2"/>
      <c r="G42" s="2"/>
      <c r="H42" s="2"/>
    </row>
    <row r="43" spans="2:8" s="38" customFormat="1" ht="16.350000000000001" customHeight="1" x14ac:dyDescent="0.25">
      <c r="B43" s="2"/>
      <c r="C43" s="2"/>
      <c r="D43" s="24"/>
      <c r="E43" s="24"/>
      <c r="F43" s="2"/>
      <c r="G43" s="2"/>
      <c r="H43" s="2"/>
    </row>
    <row r="44" spans="2:8" s="38" customFormat="1" ht="16.350000000000001" customHeight="1" x14ac:dyDescent="0.25">
      <c r="B44" s="2"/>
      <c r="C44" s="2"/>
      <c r="D44" s="24"/>
      <c r="E44" s="24"/>
      <c r="F44" s="2"/>
      <c r="G44" s="2"/>
      <c r="H44" s="2"/>
    </row>
    <row r="45" spans="2:8" s="38" customFormat="1" ht="16.350000000000001" customHeight="1" x14ac:dyDescent="0.25">
      <c r="B45" s="2"/>
      <c r="C45" s="2"/>
      <c r="D45" s="24"/>
      <c r="E45" s="24"/>
      <c r="F45" s="2"/>
      <c r="G45" s="2"/>
      <c r="H45" s="2"/>
    </row>
  </sheetData>
  <pageMargins left="0.2" right="0.2" top="0.25" bottom="0.25" header="0.05" footer="0.05"/>
  <pageSetup paperSize="3" orientation="portrait" r:id="rId1"/>
  <rowBreaks count="1" manualBreakCount="1">
    <brk id="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C3CC-B1B8-47B3-9AF7-A3F649ED7A13}">
  <dimension ref="A1:J35"/>
  <sheetViews>
    <sheetView zoomScale="110" zoomScaleNormal="110" workbookViewId="0">
      <pane ySplit="1" topLeftCell="A30" activePane="bottomLeft" state="frozen"/>
      <selection pane="bottomLeft" activeCell="E31" sqref="E31"/>
    </sheetView>
  </sheetViews>
  <sheetFormatPr defaultRowHeight="15" x14ac:dyDescent="0.25"/>
  <cols>
    <col min="1" max="1" width="14.140625" style="3" customWidth="1"/>
    <col min="2" max="2" width="14.140625" style="36" customWidth="1"/>
    <col min="3" max="3" width="11.140625" customWidth="1"/>
    <col min="4" max="4" width="2.5703125" customWidth="1"/>
    <col min="5" max="5" width="7" customWidth="1"/>
    <col min="6" max="6" width="14" customWidth="1"/>
    <col min="7" max="7" width="10.85546875" customWidth="1"/>
  </cols>
  <sheetData>
    <row r="1" spans="1:5" s="5" customFormat="1" ht="15.75" x14ac:dyDescent="0.25">
      <c r="A1" s="4"/>
      <c r="B1" s="11" t="s">
        <v>29</v>
      </c>
      <c r="C1" s="5" t="s">
        <v>20</v>
      </c>
    </row>
    <row r="2" spans="1:5" x14ac:dyDescent="0.25">
      <c r="B2" s="25"/>
      <c r="C2" s="8"/>
    </row>
    <row r="3" spans="1:5" x14ac:dyDescent="0.25">
      <c r="A3" s="3" t="s">
        <v>0</v>
      </c>
      <c r="B3" s="26">
        <v>84</v>
      </c>
      <c r="C3" s="8"/>
    </row>
    <row r="4" spans="1:5" ht="15.75" thickBot="1" x14ac:dyDescent="0.3">
      <c r="A4" s="7"/>
      <c r="B4" s="27"/>
      <c r="C4" s="9"/>
    </row>
    <row r="5" spans="1:5" x14ac:dyDescent="0.25">
      <c r="A5" s="3" t="s">
        <v>2</v>
      </c>
      <c r="B5" s="28">
        <v>79</v>
      </c>
      <c r="C5" s="10"/>
    </row>
    <row r="6" spans="1:5" ht="15.75" thickBot="1" x14ac:dyDescent="0.3">
      <c r="A6" s="7"/>
      <c r="B6" s="27"/>
      <c r="C6" s="9"/>
    </row>
    <row r="7" spans="1:5" x14ac:dyDescent="0.25">
      <c r="A7" s="3" t="s">
        <v>3</v>
      </c>
      <c r="B7" s="28">
        <v>142</v>
      </c>
      <c r="C7" s="10"/>
    </row>
    <row r="8" spans="1:5" ht="15.75" thickBot="1" x14ac:dyDescent="0.3">
      <c r="A8" s="7"/>
      <c r="B8" s="27"/>
      <c r="C8" s="9"/>
    </row>
    <row r="9" spans="1:5" x14ac:dyDescent="0.25">
      <c r="A9" s="3" t="s">
        <v>4</v>
      </c>
      <c r="B9" s="28">
        <v>105</v>
      </c>
      <c r="C9" s="10"/>
      <c r="E9">
        <v>30</v>
      </c>
    </row>
    <row r="10" spans="1:5" ht="15.75" thickBot="1" x14ac:dyDescent="0.3">
      <c r="A10" s="7"/>
      <c r="B10" s="27"/>
      <c r="C10" s="9"/>
      <c r="E10">
        <v>10</v>
      </c>
    </row>
    <row r="11" spans="1:5" x14ac:dyDescent="0.25">
      <c r="A11" s="3" t="s">
        <v>5</v>
      </c>
      <c r="B11" s="28">
        <v>217</v>
      </c>
      <c r="C11" s="10"/>
      <c r="E11">
        <v>7</v>
      </c>
    </row>
    <row r="12" spans="1:5" ht="15.75" thickBot="1" x14ac:dyDescent="0.3">
      <c r="A12" s="7" t="s">
        <v>16</v>
      </c>
      <c r="B12" s="27"/>
      <c r="C12" s="9"/>
      <c r="E12">
        <v>40</v>
      </c>
    </row>
    <row r="13" spans="1:5" x14ac:dyDescent="0.25">
      <c r="A13" s="3" t="s">
        <v>6</v>
      </c>
      <c r="B13" s="28">
        <v>82</v>
      </c>
      <c r="C13" s="10"/>
      <c r="E13">
        <v>20</v>
      </c>
    </row>
    <row r="14" spans="1:5" ht="15.75" thickBot="1" x14ac:dyDescent="0.3">
      <c r="A14" s="7"/>
      <c r="B14" s="27"/>
      <c r="C14" s="9"/>
      <c r="E14">
        <v>25</v>
      </c>
    </row>
    <row r="15" spans="1:5" x14ac:dyDescent="0.25">
      <c r="A15" s="3" t="s">
        <v>7</v>
      </c>
      <c r="B15" s="28">
        <v>104</v>
      </c>
      <c r="C15" s="10"/>
    </row>
    <row r="16" spans="1:5" ht="15.75" thickBot="1" x14ac:dyDescent="0.3">
      <c r="A16" s="7"/>
      <c r="B16" s="27"/>
      <c r="C16" s="9"/>
    </row>
    <row r="17" spans="1:10" x14ac:dyDescent="0.25">
      <c r="A17" s="3" t="s">
        <v>8</v>
      </c>
      <c r="B17" s="28">
        <v>140</v>
      </c>
      <c r="C17" s="10"/>
    </row>
    <row r="18" spans="1:10" ht="15.75" thickBot="1" x14ac:dyDescent="0.3">
      <c r="A18" s="7"/>
      <c r="B18" s="27"/>
      <c r="C18" s="9"/>
    </row>
    <row r="19" spans="1:10" x14ac:dyDescent="0.25">
      <c r="A19" s="3" t="s">
        <v>9</v>
      </c>
      <c r="B19" s="29">
        <v>100</v>
      </c>
      <c r="C19" s="14"/>
    </row>
    <row r="20" spans="1:10" ht="15.75" thickBot="1" x14ac:dyDescent="0.3">
      <c r="A20" s="7"/>
      <c r="B20" s="27"/>
      <c r="C20" s="9"/>
      <c r="H20" s="13">
        <f>A1+SUM(H2:H19)</f>
        <v>0</v>
      </c>
      <c r="I20" t="s">
        <v>15</v>
      </c>
    </row>
    <row r="21" spans="1:10" ht="16.7" customHeight="1" x14ac:dyDescent="0.25">
      <c r="A21" s="3" t="s">
        <v>10</v>
      </c>
      <c r="B21" s="29">
        <v>110</v>
      </c>
      <c r="C21" s="10"/>
    </row>
    <row r="22" spans="1:10" ht="17.25" customHeight="1" thickBot="1" x14ac:dyDescent="0.3">
      <c r="A22" s="7" t="s">
        <v>17</v>
      </c>
      <c r="B22" s="30">
        <v>135</v>
      </c>
      <c r="C22" s="17"/>
    </row>
    <row r="23" spans="1:10" x14ac:dyDescent="0.25">
      <c r="A23" s="21" t="s">
        <v>11</v>
      </c>
      <c r="B23" s="29">
        <v>125</v>
      </c>
      <c r="C23" s="10"/>
      <c r="E23">
        <f>SUM(E3:E21)</f>
        <v>132</v>
      </c>
    </row>
    <row r="24" spans="1:10" ht="15.75" thickBot="1" x14ac:dyDescent="0.3">
      <c r="A24" s="16"/>
      <c r="B24" s="27"/>
      <c r="C24" s="9"/>
      <c r="H24" t="s">
        <v>23</v>
      </c>
      <c r="I24">
        <v>25</v>
      </c>
    </row>
    <row r="25" spans="1:10" x14ac:dyDescent="0.25">
      <c r="A25" s="15" t="s">
        <v>12</v>
      </c>
      <c r="B25" s="28">
        <v>130</v>
      </c>
      <c r="C25" s="10"/>
      <c r="I25" t="s">
        <v>22</v>
      </c>
      <c r="J25">
        <v>60</v>
      </c>
    </row>
    <row r="26" spans="1:10" ht="16.5" thickBot="1" x14ac:dyDescent="0.3">
      <c r="A26" s="7" t="s">
        <v>20</v>
      </c>
      <c r="B26" s="31">
        <v>25</v>
      </c>
      <c r="C26" s="9"/>
      <c r="E26">
        <v>40</v>
      </c>
      <c r="G26" s="20">
        <v>1850</v>
      </c>
    </row>
    <row r="27" spans="1:10" ht="15.75" x14ac:dyDescent="0.25">
      <c r="A27" s="15" t="s">
        <v>13</v>
      </c>
      <c r="B27" s="28">
        <v>120</v>
      </c>
      <c r="C27" s="10"/>
      <c r="E27">
        <v>40</v>
      </c>
      <c r="F27" s="19" t="s">
        <v>14</v>
      </c>
      <c r="G27" s="20">
        <v>1800</v>
      </c>
    </row>
    <row r="28" spans="1:10" x14ac:dyDescent="0.25">
      <c r="A28" s="15" t="s">
        <v>18</v>
      </c>
      <c r="B28" s="32">
        <v>85</v>
      </c>
      <c r="C28" s="18"/>
      <c r="F28" s="3"/>
    </row>
    <row r="29" spans="1:10" ht="15.75" thickBot="1" x14ac:dyDescent="0.3">
      <c r="A29" s="16" t="s">
        <v>19</v>
      </c>
      <c r="B29" s="30">
        <v>180</v>
      </c>
      <c r="C29" s="9"/>
      <c r="F29" s="12" t="s">
        <v>24</v>
      </c>
      <c r="G29" s="3" t="s">
        <v>25</v>
      </c>
      <c r="H29" t="s">
        <v>26</v>
      </c>
    </row>
    <row r="30" spans="1:10" x14ac:dyDescent="0.25">
      <c r="A30" s="3" t="s">
        <v>1</v>
      </c>
      <c r="B30" s="33">
        <f>SUM(B2:B29)</f>
        <v>1963</v>
      </c>
      <c r="C30" s="6">
        <f t="shared" ref="C30" si="0">SUM(C2:C29)</f>
        <v>0</v>
      </c>
      <c r="G30">
        <f>SUM(G3:G24)</f>
        <v>0</v>
      </c>
    </row>
    <row r="31" spans="1:10" ht="15.75" thickBot="1" x14ac:dyDescent="0.3">
      <c r="A31" s="7"/>
      <c r="B31" s="27"/>
      <c r="C31" s="9"/>
    </row>
    <row r="32" spans="1:10" s="23" customFormat="1" ht="18.75" x14ac:dyDescent="0.3">
      <c r="A32" s="22" t="s">
        <v>1</v>
      </c>
      <c r="B32" s="34">
        <v>1993</v>
      </c>
    </row>
    <row r="33" spans="1:3" s="22" customFormat="1" ht="18.75" x14ac:dyDescent="0.3">
      <c r="A33" s="22" t="s">
        <v>27</v>
      </c>
      <c r="B33" s="35">
        <v>1850</v>
      </c>
    </row>
    <row r="34" spans="1:3" x14ac:dyDescent="0.25">
      <c r="A34" s="3" t="s">
        <v>21</v>
      </c>
      <c r="B34" s="12">
        <v>143</v>
      </c>
    </row>
    <row r="35" spans="1:3" x14ac:dyDescent="0.25">
      <c r="B35" s="36">
        <v>1900</v>
      </c>
      <c r="C35" t="s">
        <v>28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72C2-D597-4AC5-9C77-1F4662A717FD}">
  <sheetPr>
    <pageSetUpPr fitToPage="1"/>
  </sheetPr>
  <dimension ref="A1:L56"/>
  <sheetViews>
    <sheetView tabSelected="1" zoomScaleNormal="100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J33" sqref="J33"/>
    </sheetView>
  </sheetViews>
  <sheetFormatPr defaultColWidth="8.85546875" defaultRowHeight="15.75" x14ac:dyDescent="0.25"/>
  <cols>
    <col min="1" max="1" width="5" style="38" customWidth="1"/>
    <col min="2" max="2" width="9.28515625" style="2" customWidth="1"/>
    <col min="3" max="3" width="83.28515625" style="2" customWidth="1"/>
    <col min="4" max="4" width="10.140625" style="24" customWidth="1"/>
    <col min="5" max="5" width="7.7109375" style="2" customWidth="1"/>
    <col min="6" max="6" width="1.28515625" style="2" customWidth="1"/>
    <col min="7" max="7" width="6.85546875" style="2" customWidth="1"/>
    <col min="8" max="8" width="7.28515625" style="173" customWidth="1"/>
    <col min="9" max="9" width="17.42578125" style="2" customWidth="1"/>
    <col min="10" max="10" width="28.28515625" style="2" customWidth="1"/>
    <col min="11" max="11" width="5.7109375" style="2" customWidth="1"/>
    <col min="12" max="12" width="5.85546875" style="2" customWidth="1"/>
    <col min="13" max="16384" width="8.85546875" style="2"/>
  </cols>
  <sheetData>
    <row r="1" spans="1:12" ht="22.7" customHeight="1" thickBot="1" x14ac:dyDescent="0.35">
      <c r="A1" s="44" t="s">
        <v>32</v>
      </c>
      <c r="B1" s="45" t="s">
        <v>33</v>
      </c>
      <c r="C1" s="138" t="s">
        <v>112</v>
      </c>
      <c r="D1" s="121" t="s">
        <v>108</v>
      </c>
      <c r="E1" s="163" t="s">
        <v>161</v>
      </c>
      <c r="G1" s="163" t="s">
        <v>160</v>
      </c>
      <c r="H1" s="171" t="s">
        <v>169</v>
      </c>
      <c r="I1" s="41" t="s">
        <v>119</v>
      </c>
      <c r="J1" s="42" t="s">
        <v>155</v>
      </c>
      <c r="K1" s="2" t="s">
        <v>109</v>
      </c>
      <c r="L1" s="2" t="s">
        <v>110</v>
      </c>
    </row>
    <row r="2" spans="1:12" s="37" customFormat="1" ht="24.95" customHeight="1" x14ac:dyDescent="0.25">
      <c r="A2" s="46">
        <v>1</v>
      </c>
      <c r="B2" s="156" t="s">
        <v>137</v>
      </c>
      <c r="C2" s="47" t="s">
        <v>135</v>
      </c>
      <c r="D2" s="48"/>
      <c r="E2" s="175">
        <v>5</v>
      </c>
      <c r="G2" s="42" t="s">
        <v>159</v>
      </c>
      <c r="H2" s="172"/>
      <c r="I2" s="37" t="s">
        <v>120</v>
      </c>
      <c r="K2" s="37">
        <v>1</v>
      </c>
      <c r="L2" s="37">
        <v>47</v>
      </c>
    </row>
    <row r="3" spans="1:12" s="37" customFormat="1" ht="23.65" customHeight="1" x14ac:dyDescent="0.25">
      <c r="A3" s="49"/>
      <c r="B3" s="154"/>
      <c r="C3" s="50" t="s">
        <v>165</v>
      </c>
      <c r="D3" s="51" t="s">
        <v>35</v>
      </c>
      <c r="E3" s="176">
        <v>10</v>
      </c>
      <c r="G3" s="2">
        <v>19</v>
      </c>
      <c r="H3" s="173"/>
      <c r="I3" s="37" t="s">
        <v>170</v>
      </c>
      <c r="K3" s="37">
        <v>2</v>
      </c>
      <c r="L3" s="37">
        <v>53</v>
      </c>
    </row>
    <row r="4" spans="1:12" s="37" customFormat="1" ht="16.350000000000001" customHeight="1" x14ac:dyDescent="0.25">
      <c r="A4" s="46">
        <v>2</v>
      </c>
      <c r="B4" s="156" t="s">
        <v>139</v>
      </c>
      <c r="C4" s="52" t="s">
        <v>166</v>
      </c>
      <c r="D4" s="53" t="s">
        <v>154</v>
      </c>
      <c r="E4" s="175">
        <v>20</v>
      </c>
      <c r="G4" s="42"/>
      <c r="H4" s="172"/>
      <c r="J4" s="43"/>
      <c r="K4" s="37">
        <v>3</v>
      </c>
      <c r="L4" s="37">
        <v>46</v>
      </c>
    </row>
    <row r="5" spans="1:12" s="37" customFormat="1" ht="16.350000000000001" customHeight="1" x14ac:dyDescent="0.25">
      <c r="A5" s="49"/>
      <c r="B5" s="155"/>
      <c r="C5" s="124" t="s">
        <v>123</v>
      </c>
      <c r="D5" s="125" t="s">
        <v>36</v>
      </c>
      <c r="E5" s="176"/>
      <c r="G5" s="42">
        <v>13</v>
      </c>
      <c r="H5" s="172"/>
      <c r="I5" s="37" t="s">
        <v>167</v>
      </c>
      <c r="K5" s="37">
        <v>4</v>
      </c>
      <c r="L5" s="37">
        <v>42</v>
      </c>
    </row>
    <row r="6" spans="1:12" s="37" customFormat="1" ht="22.9" customHeight="1" x14ac:dyDescent="0.25">
      <c r="A6" s="46">
        <v>3</v>
      </c>
      <c r="B6" s="156" t="s">
        <v>138</v>
      </c>
      <c r="C6" s="122" t="s">
        <v>168</v>
      </c>
      <c r="D6" s="123" t="s">
        <v>154</v>
      </c>
      <c r="E6" s="176">
        <v>20</v>
      </c>
      <c r="G6" s="42">
        <v>5</v>
      </c>
      <c r="H6" s="172"/>
      <c r="I6" s="37" t="s">
        <v>172</v>
      </c>
      <c r="K6" s="37">
        <v>5</v>
      </c>
      <c r="L6" s="37">
        <v>50</v>
      </c>
    </row>
    <row r="7" spans="1:12" s="37" customFormat="1" ht="20.100000000000001" customHeight="1" x14ac:dyDescent="0.25">
      <c r="A7" s="49"/>
      <c r="B7" s="155"/>
      <c r="C7" s="126" t="s">
        <v>124</v>
      </c>
      <c r="D7" s="127" t="s">
        <v>37</v>
      </c>
      <c r="E7" s="176">
        <v>4</v>
      </c>
      <c r="G7" s="42">
        <v>13</v>
      </c>
      <c r="H7" s="172"/>
      <c r="I7" s="37" t="s">
        <v>173</v>
      </c>
      <c r="J7" s="37" t="s">
        <v>156</v>
      </c>
      <c r="K7" s="37">
        <v>6</v>
      </c>
      <c r="L7" s="37">
        <v>49</v>
      </c>
    </row>
    <row r="8" spans="1:12" s="37" customFormat="1" ht="21.4" customHeight="1" x14ac:dyDescent="0.25">
      <c r="A8" s="46">
        <v>4</v>
      </c>
      <c r="B8" s="156" t="s">
        <v>140</v>
      </c>
      <c r="C8" s="52" t="s">
        <v>171</v>
      </c>
      <c r="D8" s="53" t="s">
        <v>154</v>
      </c>
      <c r="E8" s="176">
        <v>40</v>
      </c>
      <c r="G8" s="42">
        <v>11</v>
      </c>
      <c r="H8" s="172"/>
      <c r="I8" s="37" t="s">
        <v>174</v>
      </c>
      <c r="K8" s="37">
        <v>7</v>
      </c>
      <c r="L8" s="37">
        <v>24</v>
      </c>
    </row>
    <row r="9" spans="1:12" s="37" customFormat="1" ht="19.350000000000001" customHeight="1" x14ac:dyDescent="0.25">
      <c r="A9" s="49"/>
      <c r="B9" s="157"/>
      <c r="C9" s="124" t="s">
        <v>123</v>
      </c>
      <c r="D9" s="128" t="s">
        <v>38</v>
      </c>
      <c r="E9" s="176"/>
      <c r="G9" s="42">
        <v>13</v>
      </c>
      <c r="H9" s="173"/>
      <c r="I9" s="37" t="s">
        <v>189</v>
      </c>
      <c r="K9" s="37">
        <v>8</v>
      </c>
      <c r="L9" s="37">
        <v>47</v>
      </c>
    </row>
    <row r="10" spans="1:12" s="37" customFormat="1" ht="16.350000000000001" customHeight="1" x14ac:dyDescent="0.25">
      <c r="A10" s="46">
        <v>5</v>
      </c>
      <c r="B10" s="166" t="s">
        <v>141</v>
      </c>
      <c r="C10" s="141" t="s">
        <v>175</v>
      </c>
      <c r="D10" s="139" t="s">
        <v>162</v>
      </c>
      <c r="E10" s="176">
        <v>20</v>
      </c>
      <c r="G10" s="42">
        <v>8</v>
      </c>
      <c r="H10" s="172"/>
      <c r="I10" s="37" t="s">
        <v>187</v>
      </c>
      <c r="K10" s="37">
        <v>9</v>
      </c>
      <c r="L10" s="37">
        <v>48</v>
      </c>
    </row>
    <row r="11" spans="1:12" customFormat="1" ht="16.350000000000001" customHeight="1" x14ac:dyDescent="0.25">
      <c r="A11" s="159"/>
      <c r="B11" s="154"/>
      <c r="C11" s="142" t="s">
        <v>126</v>
      </c>
      <c r="D11" s="140" t="s">
        <v>39</v>
      </c>
      <c r="E11" s="176">
        <v>5</v>
      </c>
      <c r="G11" s="4">
        <v>10</v>
      </c>
      <c r="H11" s="174"/>
      <c r="I11" s="37" t="s">
        <v>188</v>
      </c>
      <c r="K11" s="37">
        <v>10</v>
      </c>
      <c r="L11" s="37">
        <v>33</v>
      </c>
    </row>
    <row r="12" spans="1:12" s="37" customFormat="1" ht="16.350000000000001" customHeight="1" x14ac:dyDescent="0.25">
      <c r="A12" s="46">
        <v>6</v>
      </c>
      <c r="B12" s="167" t="s">
        <v>142</v>
      </c>
      <c r="C12" s="52" t="s">
        <v>176</v>
      </c>
      <c r="D12" s="177" t="s">
        <v>154</v>
      </c>
      <c r="E12" s="176">
        <v>30</v>
      </c>
      <c r="G12" s="2"/>
      <c r="H12" s="173"/>
      <c r="I12" s="37" t="s">
        <v>177</v>
      </c>
      <c r="K12" s="37">
        <v>11</v>
      </c>
      <c r="L12" s="37">
        <v>51</v>
      </c>
    </row>
    <row r="13" spans="1:12" s="37" customFormat="1" ht="16.350000000000001" customHeight="1" x14ac:dyDescent="0.25">
      <c r="A13" s="159"/>
      <c r="B13" s="155"/>
      <c r="C13" s="124" t="s">
        <v>157</v>
      </c>
      <c r="D13" s="125" t="s">
        <v>40</v>
      </c>
      <c r="E13" s="175"/>
      <c r="G13" s="42">
        <v>13</v>
      </c>
      <c r="H13" s="172"/>
      <c r="I13" s="37" t="s">
        <v>186</v>
      </c>
      <c r="K13" s="37">
        <v>12</v>
      </c>
      <c r="L13" s="37">
        <v>51</v>
      </c>
    </row>
    <row r="14" spans="1:12" s="37" customFormat="1" ht="16.350000000000001" customHeight="1" x14ac:dyDescent="0.25">
      <c r="A14" s="168">
        <v>7</v>
      </c>
      <c r="B14" s="169" t="s">
        <v>143</v>
      </c>
      <c r="C14" s="141" t="s">
        <v>178</v>
      </c>
      <c r="D14" s="139" t="s">
        <v>154</v>
      </c>
      <c r="E14" s="176">
        <v>30</v>
      </c>
      <c r="G14" s="2"/>
      <c r="H14" s="173"/>
      <c r="I14" s="37" t="s">
        <v>163</v>
      </c>
      <c r="K14" s="37">
        <v>13</v>
      </c>
      <c r="L14" s="37">
        <v>45</v>
      </c>
    </row>
    <row r="15" spans="1:12" s="37" customFormat="1" ht="16.350000000000001" customHeight="1" x14ac:dyDescent="0.25">
      <c r="A15" s="159"/>
      <c r="B15" s="161"/>
      <c r="C15" s="137" t="s">
        <v>158</v>
      </c>
      <c r="D15" s="170" t="s">
        <v>41</v>
      </c>
      <c r="E15" s="176">
        <v>8</v>
      </c>
      <c r="G15" s="2">
        <v>10</v>
      </c>
      <c r="H15" s="173"/>
      <c r="I15" s="37" t="s">
        <v>185</v>
      </c>
      <c r="J15" s="37" t="s">
        <v>179</v>
      </c>
      <c r="K15" s="37">
        <v>14</v>
      </c>
      <c r="L15" s="37">
        <v>42</v>
      </c>
    </row>
    <row r="16" spans="1:12" s="37" customFormat="1" ht="16.350000000000001" customHeight="1" x14ac:dyDescent="0.25">
      <c r="A16" s="46">
        <v>8</v>
      </c>
      <c r="B16" s="156" t="s">
        <v>144</v>
      </c>
      <c r="C16" s="52" t="s">
        <v>182</v>
      </c>
      <c r="D16" s="53" t="s">
        <v>42</v>
      </c>
      <c r="E16" s="175">
        <v>40</v>
      </c>
      <c r="G16" s="2">
        <v>25</v>
      </c>
      <c r="H16" s="173"/>
      <c r="I16" s="37" t="s">
        <v>181</v>
      </c>
      <c r="J16" s="178"/>
      <c r="K16" s="37" t="s">
        <v>111</v>
      </c>
      <c r="L16" s="37">
        <v>11</v>
      </c>
    </row>
    <row r="17" spans="1:11" s="37" customFormat="1" ht="16.350000000000001" customHeight="1" x14ac:dyDescent="0.25">
      <c r="A17" s="159"/>
      <c r="B17" s="155"/>
      <c r="C17" s="148" t="s">
        <v>164</v>
      </c>
      <c r="D17" s="125" t="s">
        <v>125</v>
      </c>
      <c r="E17" s="176">
        <v>10</v>
      </c>
      <c r="G17" s="42">
        <v>120</v>
      </c>
      <c r="H17" s="172"/>
      <c r="I17" s="37" t="s">
        <v>192</v>
      </c>
      <c r="J17" s="37" t="s">
        <v>180</v>
      </c>
      <c r="K17" s="179">
        <v>380</v>
      </c>
    </row>
    <row r="18" spans="1:11" s="37" customFormat="1" ht="16.350000000000001" customHeight="1" x14ac:dyDescent="0.25">
      <c r="A18" s="46">
        <v>9</v>
      </c>
      <c r="B18" s="156" t="s">
        <v>153</v>
      </c>
      <c r="C18" s="136" t="s">
        <v>183</v>
      </c>
      <c r="D18" s="134" t="s">
        <v>154</v>
      </c>
      <c r="E18" s="176">
        <v>30</v>
      </c>
      <c r="G18" s="2">
        <v>5</v>
      </c>
      <c r="H18" s="173"/>
      <c r="I18" s="37" t="s">
        <v>194</v>
      </c>
      <c r="J18" s="43" t="s">
        <v>202</v>
      </c>
    </row>
    <row r="19" spans="1:11" s="37" customFormat="1" ht="16.350000000000001" customHeight="1" x14ac:dyDescent="0.25">
      <c r="A19" s="159"/>
      <c r="B19" s="155"/>
      <c r="C19" s="135" t="s">
        <v>200</v>
      </c>
      <c r="D19" s="133" t="s">
        <v>44</v>
      </c>
      <c r="E19" s="176">
        <v>10</v>
      </c>
      <c r="G19" s="42">
        <v>10</v>
      </c>
      <c r="H19" s="173"/>
      <c r="I19" s="43" t="s">
        <v>184</v>
      </c>
      <c r="J19" s="43" t="s">
        <v>199</v>
      </c>
    </row>
    <row r="20" spans="1:11" s="37" customFormat="1" ht="16.350000000000001" customHeight="1" x14ac:dyDescent="0.25">
      <c r="A20" s="46">
        <v>10</v>
      </c>
      <c r="B20" s="156" t="s">
        <v>145</v>
      </c>
      <c r="C20" s="52" t="s">
        <v>203</v>
      </c>
      <c r="D20" s="164"/>
      <c r="E20" s="176">
        <v>40</v>
      </c>
      <c r="G20" s="42">
        <v>3</v>
      </c>
      <c r="H20" s="173"/>
      <c r="I20" s="37" t="s">
        <v>194</v>
      </c>
      <c r="J20" s="37" t="s">
        <v>205</v>
      </c>
    </row>
    <row r="21" spans="1:11" s="37" customFormat="1" ht="16.350000000000001" customHeight="1" x14ac:dyDescent="0.25">
      <c r="A21" s="159"/>
      <c r="B21" s="155"/>
      <c r="C21" s="152" t="s">
        <v>204</v>
      </c>
      <c r="D21" s="125" t="s">
        <v>113</v>
      </c>
      <c r="E21" s="176"/>
      <c r="G21" s="42">
        <v>10</v>
      </c>
      <c r="H21" s="173"/>
      <c r="I21" s="37" t="s">
        <v>121</v>
      </c>
      <c r="J21" s="43"/>
    </row>
    <row r="22" spans="1:11" s="37" customFormat="1" ht="16.350000000000001" customHeight="1" x14ac:dyDescent="0.25">
      <c r="A22" s="46">
        <v>11</v>
      </c>
      <c r="B22" s="156" t="s">
        <v>146</v>
      </c>
      <c r="C22" s="122" t="s">
        <v>209</v>
      </c>
      <c r="D22" s="165"/>
      <c r="E22" s="187">
        <v>20</v>
      </c>
      <c r="F22" s="184"/>
      <c r="G22" s="185">
        <v>5</v>
      </c>
      <c r="H22" s="186"/>
      <c r="I22" s="184" t="s">
        <v>194</v>
      </c>
      <c r="J22" s="184"/>
    </row>
    <row r="23" spans="1:11" s="37" customFormat="1" ht="16.350000000000001" customHeight="1" x14ac:dyDescent="0.25">
      <c r="A23" s="199"/>
      <c r="B23" s="200"/>
      <c r="C23" s="149" t="s">
        <v>207</v>
      </c>
      <c r="D23" s="127" t="s">
        <v>114</v>
      </c>
      <c r="E23" s="187">
        <v>10</v>
      </c>
      <c r="F23" s="184"/>
      <c r="G23" s="188">
        <v>12</v>
      </c>
      <c r="H23" s="186"/>
      <c r="I23" s="184" t="s">
        <v>121</v>
      </c>
      <c r="J23" s="189" t="s">
        <v>206</v>
      </c>
    </row>
    <row r="24" spans="1:11" s="37" customFormat="1" ht="16.350000000000001" customHeight="1" x14ac:dyDescent="0.25">
      <c r="A24" s="46">
        <v>12</v>
      </c>
      <c r="B24" s="156" t="s">
        <v>147</v>
      </c>
      <c r="C24" s="52" t="s">
        <v>210</v>
      </c>
      <c r="D24" s="164"/>
      <c r="E24" s="176">
        <v>40</v>
      </c>
      <c r="G24" s="42">
        <v>5</v>
      </c>
      <c r="H24" s="173"/>
      <c r="I24" s="37" t="s">
        <v>194</v>
      </c>
      <c r="J24" s="43" t="s">
        <v>211</v>
      </c>
    </row>
    <row r="25" spans="1:11" s="37" customFormat="1" ht="16.350000000000001" customHeight="1" x14ac:dyDescent="0.25">
      <c r="A25" s="49"/>
      <c r="B25" s="158"/>
      <c r="C25" s="152" t="s">
        <v>208</v>
      </c>
      <c r="D25" s="125" t="s">
        <v>115</v>
      </c>
      <c r="E25" s="176"/>
      <c r="G25" s="42">
        <v>12</v>
      </c>
      <c r="H25" s="173"/>
      <c r="I25" s="37" t="s">
        <v>121</v>
      </c>
    </row>
    <row r="26" spans="1:11" s="37" customFormat="1" ht="16.350000000000001" customHeight="1" x14ac:dyDescent="0.25">
      <c r="A26" s="46">
        <v>13</v>
      </c>
      <c r="B26" s="156" t="s">
        <v>148</v>
      </c>
      <c r="C26" s="143" t="s">
        <v>214</v>
      </c>
      <c r="D26" s="134"/>
      <c r="E26" s="192">
        <v>30</v>
      </c>
      <c r="F26" s="119"/>
      <c r="G26" s="190">
        <v>5</v>
      </c>
      <c r="H26" s="191"/>
      <c r="I26" s="119" t="s">
        <v>194</v>
      </c>
      <c r="J26" s="43" t="s">
        <v>211</v>
      </c>
    </row>
    <row r="27" spans="1:11" s="37" customFormat="1" ht="16.350000000000001" customHeight="1" x14ac:dyDescent="0.25">
      <c r="A27" s="49"/>
      <c r="B27" s="158"/>
      <c r="C27" s="135" t="s">
        <v>128</v>
      </c>
      <c r="D27" s="133" t="s">
        <v>45</v>
      </c>
      <c r="E27" s="192" t="s">
        <v>195</v>
      </c>
      <c r="F27" s="119"/>
      <c r="G27" s="193">
        <v>12</v>
      </c>
      <c r="H27" s="191"/>
      <c r="I27" s="119" t="s">
        <v>121</v>
      </c>
      <c r="J27" s="119"/>
    </row>
    <row r="28" spans="1:11" s="37" customFormat="1" ht="16.350000000000001" customHeight="1" x14ac:dyDescent="0.25">
      <c r="A28" s="46">
        <v>14</v>
      </c>
      <c r="B28" s="156" t="s">
        <v>149</v>
      </c>
      <c r="C28" s="52" t="s">
        <v>213</v>
      </c>
      <c r="D28" s="53"/>
      <c r="E28" s="176">
        <v>20</v>
      </c>
      <c r="G28" s="42">
        <v>5</v>
      </c>
      <c r="H28" s="173"/>
      <c r="I28" s="37" t="s">
        <v>194</v>
      </c>
      <c r="J28" s="43" t="s">
        <v>211</v>
      </c>
    </row>
    <row r="29" spans="1:11" s="37" customFormat="1" ht="16.350000000000001" customHeight="1" x14ac:dyDescent="0.25">
      <c r="A29" s="49"/>
      <c r="B29" s="155"/>
      <c r="C29" s="152" t="s">
        <v>212</v>
      </c>
      <c r="D29" s="125" t="s">
        <v>116</v>
      </c>
      <c r="E29" s="176"/>
      <c r="G29" s="42">
        <v>12</v>
      </c>
      <c r="H29" s="173"/>
      <c r="I29" s="37" t="s">
        <v>121</v>
      </c>
    </row>
    <row r="30" spans="1:11" s="37" customFormat="1" ht="16.350000000000001" customHeight="1" x14ac:dyDescent="0.25">
      <c r="A30" s="46">
        <v>15</v>
      </c>
      <c r="B30" s="160" t="s">
        <v>150</v>
      </c>
      <c r="C30" s="144" t="s">
        <v>215</v>
      </c>
      <c r="D30" s="132" t="s">
        <v>217</v>
      </c>
      <c r="E30" s="196">
        <v>30</v>
      </c>
      <c r="F30" s="194"/>
      <c r="G30" s="197">
        <v>5</v>
      </c>
      <c r="H30" s="195"/>
      <c r="I30" s="194" t="s">
        <v>194</v>
      </c>
      <c r="J30" s="43" t="s">
        <v>211</v>
      </c>
    </row>
    <row r="31" spans="1:11" s="37" customFormat="1" ht="16.350000000000001" customHeight="1" x14ac:dyDescent="0.25">
      <c r="A31" s="49"/>
      <c r="B31" s="155"/>
      <c r="C31" s="150" t="s">
        <v>127</v>
      </c>
      <c r="D31" s="131" t="s">
        <v>46</v>
      </c>
      <c r="E31" s="196"/>
      <c r="F31" s="194"/>
      <c r="G31" s="197">
        <v>10</v>
      </c>
      <c r="H31" s="195"/>
      <c r="I31" s="194" t="s">
        <v>121</v>
      </c>
      <c r="J31" s="194"/>
    </row>
    <row r="32" spans="1:11" s="37" customFormat="1" ht="16.350000000000001" customHeight="1" x14ac:dyDescent="0.25">
      <c r="A32" s="46">
        <v>16</v>
      </c>
      <c r="B32" s="160" t="s">
        <v>151</v>
      </c>
      <c r="C32" s="145" t="s">
        <v>122</v>
      </c>
      <c r="D32" s="130" t="s">
        <v>198</v>
      </c>
      <c r="E32" s="175"/>
      <c r="G32" s="176">
        <v>7</v>
      </c>
      <c r="H32" s="220"/>
      <c r="I32" s="221" t="s">
        <v>194</v>
      </c>
      <c r="J32" s="43"/>
    </row>
    <row r="33" spans="1:10" s="37" customFormat="1" ht="16.350000000000001" customHeight="1" thickBot="1" x14ac:dyDescent="0.3">
      <c r="A33" s="49"/>
      <c r="B33" s="155"/>
      <c r="C33" s="129" t="s">
        <v>201</v>
      </c>
      <c r="D33" s="198" t="s">
        <v>47</v>
      </c>
      <c r="E33" s="180">
        <v>80</v>
      </c>
      <c r="G33" s="162"/>
      <c r="H33" s="173"/>
      <c r="J33" s="151"/>
    </row>
    <row r="34" spans="1:10" s="37" customFormat="1" ht="16.350000000000001" customHeight="1" thickTop="1" x14ac:dyDescent="0.25">
      <c r="A34" s="201">
        <v>17</v>
      </c>
      <c r="B34" s="202" t="s">
        <v>152</v>
      </c>
      <c r="C34" s="203" t="s">
        <v>134</v>
      </c>
      <c r="D34" s="204"/>
      <c r="E34" s="205">
        <f>SUM(E2:E33)</f>
        <v>552</v>
      </c>
      <c r="F34" s="206"/>
      <c r="G34" s="205">
        <f>SUM(G2:G33)</f>
        <v>378</v>
      </c>
      <c r="H34" s="207"/>
      <c r="I34" s="206"/>
    </row>
    <row r="35" spans="1:10" s="37" customFormat="1" ht="16.350000000000001" customHeight="1" x14ac:dyDescent="0.25">
      <c r="A35" s="201"/>
      <c r="B35" s="208"/>
      <c r="C35" s="209" t="s">
        <v>196</v>
      </c>
      <c r="D35" s="210"/>
      <c r="E35" s="205"/>
      <c r="F35" s="206"/>
      <c r="G35" s="205">
        <v>155</v>
      </c>
      <c r="H35" s="207"/>
      <c r="I35" s="206" t="s">
        <v>191</v>
      </c>
    </row>
    <row r="36" spans="1:10" s="37" customFormat="1" ht="16.350000000000001" customHeight="1" thickBot="1" x14ac:dyDescent="0.3">
      <c r="A36" s="211"/>
      <c r="B36" s="212"/>
      <c r="C36" s="213" t="s">
        <v>193</v>
      </c>
      <c r="D36" s="214" t="s">
        <v>216</v>
      </c>
      <c r="E36" s="215">
        <v>0</v>
      </c>
      <c r="F36" s="216"/>
      <c r="G36" s="217"/>
      <c r="H36" s="218">
        <v>70</v>
      </c>
      <c r="I36" s="219" t="s">
        <v>197</v>
      </c>
    </row>
    <row r="37" spans="1:10" s="37" customFormat="1" ht="16.350000000000001" customHeight="1" x14ac:dyDescent="0.25">
      <c r="A37" s="38"/>
      <c r="B37" s="54"/>
      <c r="C37" s="55"/>
      <c r="D37" s="56"/>
      <c r="G37" s="181">
        <f>G34+G35</f>
        <v>533</v>
      </c>
      <c r="H37" s="173"/>
    </row>
    <row r="38" spans="1:10" ht="16.350000000000001" customHeight="1" thickBot="1" x14ac:dyDescent="0.3">
      <c r="B38" s="40"/>
      <c r="C38" s="58" t="s">
        <v>136</v>
      </c>
      <c r="D38" s="59"/>
      <c r="E38" s="153">
        <v>0</v>
      </c>
      <c r="I38" s="42"/>
    </row>
    <row r="39" spans="1:10" ht="16.350000000000001" customHeight="1" thickBot="1" x14ac:dyDescent="0.3">
      <c r="C39" s="1"/>
      <c r="D39" s="60"/>
      <c r="E39" s="181">
        <f>SUM(E34:E38)</f>
        <v>552</v>
      </c>
    </row>
    <row r="40" spans="1:10" ht="16.350000000000001" customHeight="1" thickBot="1" x14ac:dyDescent="0.3">
      <c r="C40" s="1"/>
      <c r="H40" s="182">
        <f>E39+G37</f>
        <v>1085</v>
      </c>
      <c r="I40" s="183" t="s">
        <v>190</v>
      </c>
    </row>
    <row r="41" spans="1:10" ht="16.350000000000001" customHeight="1" x14ac:dyDescent="0.25">
      <c r="B41" s="42" t="s">
        <v>34</v>
      </c>
      <c r="C41" s="2" t="s">
        <v>117</v>
      </c>
    </row>
    <row r="42" spans="1:10" ht="16.350000000000001" customHeight="1" x14ac:dyDescent="0.25">
      <c r="C42" s="2" t="s">
        <v>118</v>
      </c>
      <c r="E42" s="2">
        <v>1000</v>
      </c>
    </row>
    <row r="43" spans="1:10" ht="16.350000000000001" customHeight="1" x14ac:dyDescent="0.25">
      <c r="C43" s="146" t="s">
        <v>129</v>
      </c>
      <c r="D43" s="99"/>
      <c r="E43" s="2">
        <v>500</v>
      </c>
    </row>
    <row r="44" spans="1:10" ht="16.350000000000001" customHeight="1" x14ac:dyDescent="0.25">
      <c r="C44" s="147" t="s">
        <v>131</v>
      </c>
      <c r="D44" s="107"/>
      <c r="E44" s="42">
        <v>160</v>
      </c>
      <c r="I44" s="2" t="s">
        <v>132</v>
      </c>
      <c r="J44" s="42">
        <v>811</v>
      </c>
    </row>
    <row r="45" spans="1:10" ht="16.350000000000001" customHeight="1" x14ac:dyDescent="0.25">
      <c r="C45" s="147" t="s">
        <v>71</v>
      </c>
      <c r="D45" s="107"/>
      <c r="E45" s="42">
        <v>120</v>
      </c>
      <c r="G45" s="42">
        <v>430</v>
      </c>
      <c r="H45" s="172"/>
      <c r="J45" s="2">
        <v>150</v>
      </c>
    </row>
    <row r="46" spans="1:10" ht="16.350000000000001" customHeight="1" x14ac:dyDescent="0.25">
      <c r="C46" s="147" t="s">
        <v>72</v>
      </c>
      <c r="D46" s="107"/>
      <c r="E46" s="42">
        <v>150</v>
      </c>
    </row>
    <row r="47" spans="1:10" ht="16.350000000000001" customHeight="1" thickBot="1" x14ac:dyDescent="0.3">
      <c r="C47" s="147" t="s">
        <v>130</v>
      </c>
      <c r="D47" s="107"/>
      <c r="E47" s="109">
        <v>70</v>
      </c>
      <c r="I47" s="2" t="s">
        <v>133</v>
      </c>
      <c r="J47" s="2">
        <v>961</v>
      </c>
    </row>
    <row r="48" spans="1:10" ht="16.350000000000001" customHeight="1" x14ac:dyDescent="0.25">
      <c r="C48" s="24"/>
      <c r="E48" s="42">
        <f>SUM(E43:E47)</f>
        <v>1000</v>
      </c>
    </row>
    <row r="49" ht="16.350000000000001" customHeight="1" x14ac:dyDescent="0.25"/>
    <row r="50" ht="16.350000000000001" customHeight="1" x14ac:dyDescent="0.25"/>
    <row r="51" ht="16.350000000000001" customHeight="1" x14ac:dyDescent="0.25"/>
    <row r="52" ht="16.350000000000001" customHeight="1" x14ac:dyDescent="0.25"/>
    <row r="53" ht="16.350000000000001" customHeight="1" x14ac:dyDescent="0.25"/>
    <row r="54" ht="16.350000000000001" customHeight="1" x14ac:dyDescent="0.25"/>
    <row r="55" ht="16.350000000000001" customHeight="1" x14ac:dyDescent="0.25"/>
    <row r="56" ht="16.350000000000001" customHeight="1" x14ac:dyDescent="0.25"/>
  </sheetData>
  <pageMargins left="0.2" right="0.2" top="0.25" bottom="0.25" header="0.05" footer="0.05"/>
  <pageSetup paperSize="3" orientation="portrait" r:id="rId1"/>
  <rowBreaks count="1" manualBreakCount="1">
    <brk id="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df8eb8-9501-44ee-bcc9-3285e993a0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4501CE992B194DBD342E175DDE68EA" ma:contentTypeVersion="18" ma:contentTypeDescription="Create a new document." ma:contentTypeScope="" ma:versionID="c071331f06cf500a7d438edc82345684">
  <xsd:schema xmlns:xsd="http://www.w3.org/2001/XMLSchema" xmlns:xs="http://www.w3.org/2001/XMLSchema" xmlns:p="http://schemas.microsoft.com/office/2006/metadata/properties" xmlns:ns3="c7df8eb8-9501-44ee-bcc9-3285e993a0da" xmlns:ns4="0e54fe07-25df-4e42-9578-6d59da86473f" targetNamespace="http://schemas.microsoft.com/office/2006/metadata/properties" ma:root="true" ma:fieldsID="bc6ebeeb035573d147765f8df60a7042" ns3:_="" ns4:_="">
    <xsd:import namespace="c7df8eb8-9501-44ee-bcc9-3285e993a0da"/>
    <xsd:import namespace="0e54fe07-25df-4e42-9578-6d59da8647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f8eb8-9501-44ee-bcc9-3285e993a0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4fe07-25df-4e42-9578-6d59da8647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9DB8AC-5388-4132-B98A-306CDB9C61A4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c7df8eb8-9501-44ee-bcc9-3285e993a0da"/>
    <ds:schemaRef ds:uri="http://schemas.openxmlformats.org/package/2006/metadata/core-properties"/>
    <ds:schemaRef ds:uri="0e54fe07-25df-4e42-9578-6d59da86473f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E77FF2A-7644-42B6-B86C-25E3174B9B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df8eb8-9501-44ee-bcc9-3285e993a0da"/>
    <ds:schemaRef ds:uri="0e54fe07-25df-4e42-9578-6d59da8647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0D51BF-9108-4C0D-8640-D65BBBB48B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old -MOS-Syllabus Schedule</vt:lpstr>
      <vt:lpstr>Points-Class</vt:lpstr>
      <vt:lpstr>CourseSchedule</vt:lpstr>
      <vt:lpstr>CourseSchedule!Print_Area</vt:lpstr>
      <vt:lpstr>'old -MOS-Syllabus Schedule'!Print_Area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Pacheco</dc:creator>
  <cp:keywords/>
  <dc:description/>
  <cp:lastModifiedBy>ap247</cp:lastModifiedBy>
  <cp:revision/>
  <cp:lastPrinted>2025-01-06T23:45:37Z</cp:lastPrinted>
  <dcterms:created xsi:type="dcterms:W3CDTF">2024-07-24T22:42:59Z</dcterms:created>
  <dcterms:modified xsi:type="dcterms:W3CDTF">2026-04-30T05:33:47Z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0x0101003A4501CE992B194DBD342E175DDE68EA</vt:lpwstr>
  </property>
</Properties>
</file>